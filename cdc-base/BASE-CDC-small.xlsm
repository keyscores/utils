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816" codeName="{7A2D7E96-6E34-419A-AE5F-296B3A7E7977}"/>
  <workbookPr codeName="EstaPasta_de_trabalho" autoCompressPictures="0"/>
  <bookViews>
    <workbookView xWindow="0" yWindow="0" windowWidth="25400" windowHeight="14040" tabRatio="703"/>
  </bookViews>
  <sheets>
    <sheet name="ESTRUT_DADOS_PADRAO" sheetId="13" r:id="rId1"/>
    <sheet name="Config" sheetId="14" r:id="rId2"/>
  </sheets>
  <definedNames>
    <definedName name="CONSULTOR">Config!#REF!</definedName>
    <definedName name="CONSULTORES">Tabela5[#All]</definedName>
    <definedName name="CONSULTORR">Tabela5[#All]</definedName>
    <definedName name="REGIAOCONSULTORIA">Tabela4[#All]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R3" i="13" l="1"/>
  <c r="HR4" i="13"/>
  <c r="HR5" i="13"/>
  <c r="HR6" i="13"/>
  <c r="HR7" i="13"/>
  <c r="HR8" i="13"/>
  <c r="HR9" i="13"/>
  <c r="HR10" i="13"/>
  <c r="HR11" i="13"/>
  <c r="HM3" i="13"/>
  <c r="HM4" i="13"/>
  <c r="HM5" i="13"/>
  <c r="HM6" i="13"/>
  <c r="HM7" i="13"/>
  <c r="HM8" i="13"/>
  <c r="HM9" i="13"/>
  <c r="HM10" i="13"/>
  <c r="HM11" i="13"/>
  <c r="HI3" i="13"/>
  <c r="HI4" i="13"/>
  <c r="HI5" i="13"/>
  <c r="HI6" i="13"/>
  <c r="HI7" i="13"/>
  <c r="HI8" i="13"/>
  <c r="HI9" i="13"/>
  <c r="HI10" i="13"/>
  <c r="HI11" i="13"/>
  <c r="HG3" i="13"/>
  <c r="HG4" i="13"/>
  <c r="HG5" i="13"/>
  <c r="HG6" i="13"/>
  <c r="HG7" i="13"/>
  <c r="HG8" i="13"/>
  <c r="HG9" i="13"/>
  <c r="HG10" i="13"/>
  <c r="HG11" i="13"/>
  <c r="HE3" i="13"/>
  <c r="HE4" i="13"/>
  <c r="HE5" i="13"/>
  <c r="HE6" i="13"/>
  <c r="HF6" i="13"/>
  <c r="HE7" i="13"/>
  <c r="HE8" i="13"/>
  <c r="HE9" i="13"/>
  <c r="HE10" i="13"/>
  <c r="HE11" i="13"/>
  <c r="HH6" i="13"/>
  <c r="HK10" i="13"/>
  <c r="HJ6" i="13"/>
  <c r="HL6" i="13"/>
  <c r="HF10" i="13"/>
  <c r="HH10" i="13"/>
  <c r="HJ10" i="13"/>
  <c r="HL10" i="13"/>
  <c r="HK5" i="13"/>
  <c r="HF5" i="13"/>
  <c r="HH5" i="13"/>
  <c r="HJ5" i="13"/>
  <c r="HL5" i="13"/>
  <c r="HK9" i="13"/>
  <c r="HF9" i="13"/>
  <c r="HH9" i="13"/>
  <c r="HJ9" i="13"/>
  <c r="HL9" i="13"/>
  <c r="HK11" i="13"/>
  <c r="HF11" i="13"/>
  <c r="HH11" i="13"/>
  <c r="HJ11" i="13"/>
  <c r="HL11" i="13"/>
  <c r="HF3" i="13"/>
  <c r="HH3" i="13"/>
  <c r="HJ3" i="13"/>
  <c r="HL3" i="13"/>
  <c r="HK3" i="13"/>
  <c r="HK7" i="13"/>
  <c r="HF7" i="13"/>
  <c r="HH7" i="13"/>
  <c r="HJ7" i="13"/>
  <c r="HL7" i="13"/>
  <c r="HF8" i="13"/>
  <c r="HH8" i="13"/>
  <c r="HJ8" i="13"/>
  <c r="HL8" i="13"/>
  <c r="HK8" i="13"/>
  <c r="HF4" i="13"/>
  <c r="HH4" i="13"/>
  <c r="HJ4" i="13"/>
  <c r="HL4" i="13"/>
  <c r="HK4" i="13"/>
  <c r="HK6" i="13"/>
  <c r="HN11" i="13"/>
  <c r="HN7" i="13"/>
  <c r="HN3" i="13"/>
  <c r="HO3" i="13"/>
  <c r="HP3" i="13"/>
  <c r="HN10" i="13"/>
  <c r="HN6" i="13"/>
  <c r="HN9" i="13"/>
  <c r="HN5" i="13"/>
  <c r="HN8" i="13"/>
  <c r="HN4" i="13"/>
  <c r="HO7" i="13"/>
  <c r="HP7" i="13"/>
  <c r="HO4" i="13"/>
  <c r="HP4" i="13"/>
  <c r="HO9" i="13"/>
  <c r="HP9" i="13"/>
  <c r="HO8" i="13"/>
  <c r="HP8" i="13"/>
  <c r="HQ4" i="13"/>
  <c r="HQ9" i="13"/>
  <c r="HQ7" i="13"/>
  <c r="HO6" i="13"/>
  <c r="HO5" i="13"/>
  <c r="HO11" i="13"/>
  <c r="HQ8" i="13"/>
  <c r="HQ3" i="13"/>
  <c r="HO10" i="13"/>
  <c r="F195" i="14"/>
  <c r="F196" i="14"/>
  <c r="HP11" i="13"/>
  <c r="HQ11" i="13"/>
  <c r="HP5" i="13"/>
  <c r="HQ5" i="13"/>
  <c r="HP6" i="13"/>
  <c r="HQ6" i="13"/>
  <c r="HP10" i="13"/>
  <c r="HQ10" i="13"/>
  <c r="B3" i="13"/>
  <c r="F191" i="14"/>
  <c r="F190" i="14"/>
  <c r="F189" i="14"/>
  <c r="F194" i="14"/>
  <c r="F192" i="14"/>
  <c r="F193" i="14"/>
  <c r="F187" i="14"/>
  <c r="G3" i="13"/>
  <c r="G4" i="13"/>
  <c r="G5" i="13"/>
  <c r="G6" i="13"/>
  <c r="G7" i="13"/>
  <c r="G8" i="13"/>
  <c r="G9" i="13"/>
  <c r="G10" i="13"/>
  <c r="G11" i="13"/>
  <c r="C3" i="13"/>
  <c r="C4" i="13"/>
  <c r="C5" i="13"/>
  <c r="C6" i="13"/>
  <c r="C7" i="13"/>
  <c r="C8" i="13"/>
  <c r="C9" i="13"/>
  <c r="C10" i="13"/>
  <c r="C11" i="13"/>
  <c r="B4" i="13"/>
  <c r="B5" i="13"/>
  <c r="B6" i="13"/>
  <c r="B7" i="13"/>
  <c r="B8" i="13"/>
  <c r="B9" i="13"/>
  <c r="B10" i="13"/>
  <c r="B11" i="13"/>
  <c r="D10" i="13"/>
  <c r="D6" i="13"/>
  <c r="D5" i="13"/>
  <c r="D8" i="13"/>
  <c r="D4" i="13"/>
  <c r="D9" i="13"/>
  <c r="D11" i="13"/>
  <c r="D3" i="13"/>
  <c r="D7" i="13"/>
  <c r="E6" i="13"/>
  <c r="E10" i="13"/>
  <c r="E3" i="13"/>
  <c r="E7" i="13"/>
  <c r="E11" i="13"/>
  <c r="E4" i="13"/>
  <c r="E8" i="13"/>
  <c r="E5" i="13"/>
  <c r="E9" i="13"/>
  <c r="F180" i="14"/>
  <c r="F36" i="14"/>
  <c r="F38" i="14"/>
  <c r="F77" i="14"/>
  <c r="F111" i="14"/>
  <c r="F49" i="14"/>
  <c r="F11" i="14"/>
  <c r="F131" i="14"/>
  <c r="F37" i="14"/>
  <c r="F20" i="14"/>
  <c r="F41" i="14"/>
  <c r="F147" i="14"/>
  <c r="F94" i="14"/>
  <c r="F167" i="14"/>
  <c r="F188" i="14"/>
  <c r="F144" i="14"/>
  <c r="F159" i="14"/>
  <c r="F178" i="14"/>
  <c r="F184" i="14"/>
  <c r="F123" i="14"/>
  <c r="F139" i="14"/>
  <c r="F138" i="14"/>
  <c r="F40" i="14"/>
  <c r="F59" i="14"/>
  <c r="F93" i="14"/>
  <c r="F25" i="14"/>
  <c r="F105" i="14"/>
  <c r="F113" i="14"/>
  <c r="F21" i="14"/>
  <c r="F146" i="14"/>
  <c r="F19" i="14"/>
  <c r="F114" i="14"/>
  <c r="F172" i="14"/>
  <c r="F16" i="14"/>
  <c r="F71" i="14"/>
  <c r="F68" i="14"/>
  <c r="F129" i="14"/>
  <c r="F177" i="14"/>
  <c r="F85" i="14"/>
  <c r="F116" i="14"/>
  <c r="F126" i="14"/>
  <c r="F90" i="14"/>
  <c r="F121" i="14"/>
  <c r="F39" i="14"/>
  <c r="F88" i="14"/>
  <c r="F169" i="14"/>
  <c r="F30" i="14"/>
  <c r="F98" i="14"/>
  <c r="F66" i="14"/>
  <c r="F12" i="14"/>
  <c r="F119" i="14"/>
  <c r="F108" i="14"/>
  <c r="F157" i="14"/>
  <c r="F61" i="14"/>
  <c r="F99" i="14"/>
  <c r="F161" i="14"/>
  <c r="F183" i="14"/>
  <c r="F165" i="14"/>
  <c r="F82" i="14"/>
  <c r="F87" i="14"/>
  <c r="F124" i="14"/>
  <c r="F58" i="14"/>
  <c r="F154" i="14"/>
  <c r="F52" i="14"/>
  <c r="F162" i="14"/>
  <c r="F72" i="14"/>
  <c r="F5" i="14"/>
  <c r="F84" i="14"/>
  <c r="F27" i="14"/>
  <c r="F170" i="14"/>
  <c r="F14" i="14"/>
  <c r="F107" i="14"/>
  <c r="F155" i="14"/>
  <c r="F89" i="14"/>
  <c r="F100" i="14"/>
  <c r="F65" i="14"/>
  <c r="F128" i="14"/>
  <c r="F64" i="14"/>
  <c r="F127" i="14"/>
  <c r="F160" i="14"/>
  <c r="F117" i="14"/>
  <c r="F62" i="14"/>
  <c r="F60" i="14"/>
  <c r="F135" i="14"/>
  <c r="F51" i="14"/>
  <c r="F168" i="14"/>
  <c r="F125" i="14"/>
  <c r="F103" i="14"/>
  <c r="F122" i="14"/>
  <c r="F83" i="14"/>
  <c r="F57" i="14"/>
  <c r="F24" i="14"/>
  <c r="F149" i="14"/>
  <c r="F70" i="14"/>
  <c r="F18" i="14"/>
  <c r="F86" i="14"/>
  <c r="F7" i="14"/>
  <c r="F22" i="14"/>
  <c r="F26" i="14"/>
  <c r="F23" i="14"/>
  <c r="F153" i="14"/>
  <c r="F81" i="14"/>
  <c r="F91" i="14"/>
  <c r="F31" i="14"/>
  <c r="F130" i="14"/>
  <c r="F43" i="14"/>
  <c r="F44" i="14"/>
  <c r="F176" i="14"/>
  <c r="F50" i="14"/>
  <c r="F67" i="14"/>
  <c r="F34" i="14"/>
  <c r="F15" i="14"/>
  <c r="F181" i="14"/>
  <c r="F6" i="14"/>
  <c r="F78" i="14"/>
  <c r="F63" i="14"/>
  <c r="F142" i="14"/>
  <c r="F132" i="14"/>
  <c r="F95" i="14"/>
  <c r="F75" i="14"/>
  <c r="F76" i="14"/>
  <c r="F182" i="14"/>
  <c r="F186" i="14"/>
  <c r="F148" i="14"/>
  <c r="F32" i="14"/>
  <c r="F56" i="14"/>
  <c r="F174" i="14"/>
  <c r="F10" i="14"/>
  <c r="F104" i="14"/>
  <c r="F33" i="14"/>
  <c r="F179" i="14"/>
  <c r="F45" i="14"/>
  <c r="F29" i="14"/>
  <c r="F96" i="14"/>
  <c r="F115" i="14"/>
  <c r="F80" i="14"/>
  <c r="F3" i="14"/>
  <c r="F4" i="14"/>
  <c r="F158" i="14"/>
  <c r="F79" i="14"/>
  <c r="F175" i="14"/>
  <c r="F134" i="14"/>
  <c r="F48" i="14"/>
  <c r="F152" i="14"/>
  <c r="F17" i="14"/>
  <c r="F46" i="14"/>
  <c r="F74" i="14"/>
  <c r="F166" i="14"/>
  <c r="F54" i="14"/>
  <c r="F55" i="14"/>
  <c r="F13" i="14"/>
  <c r="F120" i="14"/>
  <c r="F35" i="14"/>
  <c r="F151" i="14"/>
  <c r="F92" i="14"/>
  <c r="F137" i="14"/>
  <c r="F143" i="14"/>
  <c r="F101" i="14"/>
  <c r="F164" i="14"/>
  <c r="F136" i="14"/>
  <c r="F102" i="14"/>
  <c r="F106" i="14"/>
  <c r="F42" i="14"/>
  <c r="F109" i="14"/>
  <c r="F141" i="14"/>
  <c r="F140" i="14"/>
  <c r="F73" i="14"/>
  <c r="F8" i="14"/>
  <c r="F97" i="14"/>
  <c r="F171" i="14"/>
  <c r="F47" i="14"/>
  <c r="F110" i="14"/>
  <c r="F28" i="14"/>
  <c r="F9" i="14"/>
  <c r="F156" i="14"/>
  <c r="F133" i="14"/>
  <c r="F173" i="14"/>
  <c r="F112" i="14"/>
  <c r="F53" i="14"/>
  <c r="F163" i="14"/>
  <c r="F69" i="14"/>
  <c r="F150" i="14"/>
  <c r="F185" i="14"/>
  <c r="F118" i="14"/>
  <c r="F2" i="14"/>
  <c r="F145" i="14"/>
  <c r="F4" i="13"/>
  <c r="F9" i="13"/>
  <c r="F3" i="13"/>
  <c r="F8" i="13"/>
  <c r="F7" i="13"/>
  <c r="F6" i="13"/>
  <c r="F11" i="13"/>
  <c r="F5" i="13"/>
  <c r="F10" i="13"/>
</calcChain>
</file>

<file path=xl/sharedStrings.xml><?xml version="1.0" encoding="utf-8"?>
<sst xmlns="http://schemas.openxmlformats.org/spreadsheetml/2006/main" count="685" uniqueCount="457">
  <si>
    <t>Mes</t>
  </si>
  <si>
    <t>Ano</t>
  </si>
  <si>
    <t>LOCACOES</t>
  </si>
  <si>
    <t>ADICIONAL</t>
  </si>
  <si>
    <t>BOLOCADOR</t>
  </si>
  <si>
    <t>BOLOCATARIO_TOT</t>
  </si>
  <si>
    <t>REEMBOLSOS_CONSUMIVEIS</t>
  </si>
  <si>
    <t>TOTAL_FATURAMENTO</t>
  </si>
  <si>
    <t>CTR_ENVOLVIDOS_PJ</t>
  </si>
  <si>
    <t>CTR_ENVOLVIDOS_PF</t>
  </si>
  <si>
    <t>CTR_ENVOLVIDOS_Q</t>
  </si>
  <si>
    <t>CTR_ENVOLVIDOS</t>
  </si>
  <si>
    <t>TOT_CTR_REALIZADOS_PJ</t>
  </si>
  <si>
    <t>TOT_CTR_REALIZADOS_PF</t>
  </si>
  <si>
    <t>TOT_CTR_REALIZADOS_Q</t>
  </si>
  <si>
    <t>TOT_CTR_REALIZADOS</t>
  </si>
  <si>
    <t>TOT_CTR_CANCELADOS_PJ</t>
  </si>
  <si>
    <t>TOT_CTR_CANCELADOS_PF</t>
  </si>
  <si>
    <t>TOT_CTR_CANCELADOS_Q</t>
  </si>
  <si>
    <t>TOT_CTR_CANCELADOS</t>
  </si>
  <si>
    <t>DIAS_TRABALHADOS</t>
  </si>
  <si>
    <t>NUMFUNC</t>
  </si>
  <si>
    <t>CR_EMITIDOS_PJ</t>
  </si>
  <si>
    <t>CR_EMITIDOS_PF</t>
  </si>
  <si>
    <t>CR_EMITIDOS_Q</t>
  </si>
  <si>
    <t>CR_EMITIDOS</t>
  </si>
  <si>
    <t>CR_RECEBIDOS_PJ</t>
  </si>
  <si>
    <t>CR_RECEBIDOS_PF</t>
  </si>
  <si>
    <t>CR_RECEBIDOS_Q</t>
  </si>
  <si>
    <t>CR_RECEBIDOS</t>
  </si>
  <si>
    <t>TOT_CLI_PJ</t>
  </si>
  <si>
    <t>TOT_CLI_PF</t>
  </si>
  <si>
    <t>TOT_CLI_Q</t>
  </si>
  <si>
    <t>TOT_CLI</t>
  </si>
  <si>
    <t>CLI_NOVOS_PJ</t>
  </si>
  <si>
    <t>CLI_NOVOS_PF</t>
  </si>
  <si>
    <t>CLI_NOVOS_Q</t>
  </si>
  <si>
    <t>CLI_NOVOS</t>
  </si>
  <si>
    <t>CLI_ATIVOS_PJ</t>
  </si>
  <si>
    <t>CLI_ATIVOS_PF</t>
  </si>
  <si>
    <t>CLI_ATIVOS_Q</t>
  </si>
  <si>
    <t>CLI_ATIVOS</t>
  </si>
  <si>
    <t>RE_INVESTIMENTOS</t>
  </si>
  <si>
    <t>INVESTIMENTOS</t>
  </si>
  <si>
    <t>INVESTIMENTOS_CUSTOATUAL</t>
  </si>
  <si>
    <t>EQUIP_PERDIDOS</t>
  </si>
  <si>
    <t>EQUIP_PERDIDOS_CUSTOATUAL</t>
  </si>
  <si>
    <t>INVENTARIO</t>
  </si>
  <si>
    <t>INVENTARIO_CUSTOATUAL</t>
  </si>
  <si>
    <t>TOTALINVESTIMENTO</t>
  </si>
  <si>
    <t>MEDIACTR</t>
  </si>
  <si>
    <t>TICKETMEDIO</t>
  </si>
  <si>
    <t>FATFUNC</t>
  </si>
  <si>
    <t>FATINVEST</t>
  </si>
  <si>
    <t>FACHADA</t>
  </si>
  <si>
    <t>INDCOMERCIAL</t>
  </si>
  <si>
    <t>INDPESSOAL</t>
  </si>
  <si>
    <t>MALADIRETA</t>
  </si>
  <si>
    <t>VISITA</t>
  </si>
  <si>
    <t>RADIO</t>
  </si>
  <si>
    <t>TELEVISAO</t>
  </si>
  <si>
    <t>JORNAL</t>
  </si>
  <si>
    <t>LISTATELEFONI</t>
  </si>
  <si>
    <t>PANFLETOS</t>
  </si>
  <si>
    <t>PLACAS</t>
  </si>
  <si>
    <t>MUROS_OUTDOORS</t>
  </si>
  <si>
    <t>GOOGLE</t>
  </si>
  <si>
    <t>INTERNET</t>
  </si>
  <si>
    <t>OUTROS</t>
  </si>
  <si>
    <t>A1-PESSOAIS</t>
  </si>
  <si>
    <t>A2-MAQUINAS E EQUIP. ATIVOS</t>
  </si>
  <si>
    <t>A3-VEICULOS</t>
  </si>
  <si>
    <t>A4-MATERIAIS DE EXPEDIENTE</t>
  </si>
  <si>
    <t>A5-IMOVEIS</t>
  </si>
  <si>
    <t>A6-COMUNICAÇÃO</t>
  </si>
  <si>
    <t>A7-SERVICOS TERCEIRIZADOS</t>
  </si>
  <si>
    <t>A8-IMPOSTOS E TAXAS</t>
  </si>
  <si>
    <t>B1-PROPAGANDA E PUBLICIDADE</t>
  </si>
  <si>
    <t>B2-VIAGENS FRANQUEADO</t>
  </si>
  <si>
    <t>C1-INVESTIMENTOS</t>
  </si>
  <si>
    <t>C2-VENDAS - CIRCULANTE</t>
  </si>
  <si>
    <t>D1-BANCO DE OFERTAS - LOCADOR 75%</t>
  </si>
  <si>
    <t>E1-REEMBOLSOS</t>
  </si>
  <si>
    <t>G1-CAIXA ( DEBITO )</t>
  </si>
  <si>
    <t>H0-RETIRADA DE LUCRO</t>
  </si>
  <si>
    <t>C3-INVESTIMENTO INICIAL</t>
  </si>
  <si>
    <t>G5-BANCO ( SAIDA )</t>
  </si>
  <si>
    <t>D2-BANCO DE OFERTAS - PARCEIROS</t>
  </si>
  <si>
    <t>A9-DEPESAS EXTRAS</t>
  </si>
  <si>
    <t>Invest_01</t>
  </si>
  <si>
    <t>Fatur_01</t>
  </si>
  <si>
    <t>Invest_05</t>
  </si>
  <si>
    <t>Fatur_05</t>
  </si>
  <si>
    <t>Invest_07</t>
  </si>
  <si>
    <t>Fatur_07</t>
  </si>
  <si>
    <t>Invest_08</t>
  </si>
  <si>
    <t>Fatur_08</t>
  </si>
  <si>
    <t>Invest_10</t>
  </si>
  <si>
    <t>Fatur_10</t>
  </si>
  <si>
    <t>Invest_12</t>
  </si>
  <si>
    <t>Fatur_12</t>
  </si>
  <si>
    <t>Invest_15</t>
  </si>
  <si>
    <t>Fatur_15</t>
  </si>
  <si>
    <t>Invest_17</t>
  </si>
  <si>
    <t>Fatur_17</t>
  </si>
  <si>
    <t>Invest_20</t>
  </si>
  <si>
    <t>Fatur_20</t>
  </si>
  <si>
    <t>Invest_23</t>
  </si>
  <si>
    <t>Fatur_23</t>
  </si>
  <si>
    <t>Invest_25</t>
  </si>
  <si>
    <t>Fatur_25</t>
  </si>
  <si>
    <t>Invest_27</t>
  </si>
  <si>
    <t>Fatur_27</t>
  </si>
  <si>
    <t>Invest_30</t>
  </si>
  <si>
    <t>Fatur_30</t>
  </si>
  <si>
    <t>Invest_35</t>
  </si>
  <si>
    <t>Fatur_35</t>
  </si>
  <si>
    <t>Invest_37</t>
  </si>
  <si>
    <t>Fatur_37</t>
  </si>
  <si>
    <t>Invest_40</t>
  </si>
  <si>
    <t>Fatur_40</t>
  </si>
  <si>
    <t>Invest_42</t>
  </si>
  <si>
    <t>Fatur_42</t>
  </si>
  <si>
    <t>Invest_43</t>
  </si>
  <si>
    <t>Fatur_43</t>
  </si>
  <si>
    <t>Invest_44</t>
  </si>
  <si>
    <t>Fatur_44</t>
  </si>
  <si>
    <t>Invest_45</t>
  </si>
  <si>
    <t>Fatur_45</t>
  </si>
  <si>
    <t>Invest_55</t>
  </si>
  <si>
    <t>Fatur_55</t>
  </si>
  <si>
    <t>Invest_65</t>
  </si>
  <si>
    <t>Fatur_65</t>
  </si>
  <si>
    <t>Invest_67</t>
  </si>
  <si>
    <t>Fatur_67</t>
  </si>
  <si>
    <t>Invest_70</t>
  </si>
  <si>
    <t>Fatur_70</t>
  </si>
  <si>
    <t>Invest_80</t>
  </si>
  <si>
    <t>Fatur_80</t>
  </si>
  <si>
    <t>Invest_85</t>
  </si>
  <si>
    <t>Fatur_85</t>
  </si>
  <si>
    <t>Invest_90</t>
  </si>
  <si>
    <t>Fatur_90</t>
  </si>
  <si>
    <t>Invest_99</t>
  </si>
  <si>
    <t>Fatur_99</t>
  </si>
  <si>
    <t>CPG_MAIOR_90DD</t>
  </si>
  <si>
    <t>CPG_61_90DD</t>
  </si>
  <si>
    <t>CPG_31_60DD</t>
  </si>
  <si>
    <t>CPG_30DD</t>
  </si>
  <si>
    <t>CONTASPAGAR_A_VENCER</t>
  </si>
  <si>
    <t>DEVOLUCAO_DE_EMPRESTIMOS</t>
  </si>
  <si>
    <t>FINANCIAMENTOUTENSILIO</t>
  </si>
  <si>
    <t>FINANCIAMENTOEQUIPAMENTO</t>
  </si>
  <si>
    <t>FUNDO_PERDIDO_ACM</t>
  </si>
  <si>
    <t>INADIMP_91_120</t>
  </si>
  <si>
    <t>CONTAS_A_RECEBER_EMITIDAS</t>
  </si>
  <si>
    <t>COBRANCASCANCELADAS</t>
  </si>
  <si>
    <t>CTRZERADOS</t>
  </si>
  <si>
    <t>APORTECAPITAL</t>
  </si>
  <si>
    <t>EMPRESTIMOSDEVOLUCAO</t>
  </si>
  <si>
    <t>IMPOSTOSTAXAS2</t>
  </si>
  <si>
    <t>IMPOSTOSTAXAS</t>
  </si>
  <si>
    <t>OUTROS_RECEBIMENTOS</t>
  </si>
  <si>
    <t>RECUPERACAO_DE_FPA</t>
  </si>
  <si>
    <t>RECEBIMENTO_ANTECIPADO</t>
  </si>
  <si>
    <t>RECEBIMENTO_61_90</t>
  </si>
  <si>
    <t>RECEBIMENTO_31_60</t>
  </si>
  <si>
    <t>RECEBIMENTO_MES</t>
  </si>
  <si>
    <t>OUTROS_RECEBIMENTOS_NO_PERIODO</t>
  </si>
  <si>
    <t>INADIMP_61_90</t>
  </si>
  <si>
    <t>INADIMP_31_60</t>
  </si>
  <si>
    <t>RECEBIMENTO_PREVISTO_NO_PERIODO</t>
  </si>
  <si>
    <t>CONTAS_RECEBER_NAO_EMITIDAS</t>
  </si>
  <si>
    <t>FATUR_TOTAL</t>
  </si>
  <si>
    <t>INVEST_TOTAL</t>
  </si>
  <si>
    <t>CTRZERADOS_COMAJUSTE</t>
  </si>
  <si>
    <t>TOT_AJUSTES</t>
  </si>
  <si>
    <t>CRDV</t>
  </si>
  <si>
    <t>DESC_CTRS_ENCERRADOS</t>
  </si>
  <si>
    <t>DESC_CTRS_EMANDAMENTO</t>
  </si>
  <si>
    <t>LOCACOES_ATIVO</t>
  </si>
  <si>
    <t>ADICIONAL_ATIVO</t>
  </si>
  <si>
    <t>BOLOCADOR_ATIVO</t>
  </si>
  <si>
    <t>BOLOCATARIO_TOT_ATIVO</t>
  </si>
  <si>
    <t>REEMBOLSOS_CONSUMIVEIS_ATIVO</t>
  </si>
  <si>
    <t>TOTAL_FATURAMENTO_ATIVO</t>
  </si>
  <si>
    <t>CONTRATOS_NAO_COBRADOS</t>
  </si>
  <si>
    <t>DESPESAS</t>
  </si>
  <si>
    <t>CUSTOS</t>
  </si>
  <si>
    <t>TOTAL_DAS_DESPESAS</t>
  </si>
  <si>
    <t>DEDUCOES</t>
  </si>
  <si>
    <t>RECEBIMENTOS_MENOS_DEDUCOES</t>
  </si>
  <si>
    <t>RECEBIMENTOS_MENOS_CUSTOS</t>
  </si>
  <si>
    <t>RECEBIMENTOS_MENOS_DESPESAS</t>
  </si>
  <si>
    <t>VARIACAO_INADIMPLENCIA</t>
  </si>
  <si>
    <t>RECEBIMENTO_0_30</t>
  </si>
  <si>
    <t>TOTAL_INADIMPLENCIA</t>
  </si>
  <si>
    <t>VARIACAO_MES_ANTERIOR</t>
  </si>
  <si>
    <t>RECEBIMENTO</t>
  </si>
  <si>
    <t>TOTAL_RECEB_COM_VAR_MESANT</t>
  </si>
  <si>
    <t>DESCONTO_CONTRATO</t>
  </si>
  <si>
    <t>DESCONTO_CONTRATO_ATIVO</t>
  </si>
  <si>
    <t>Fatur_02</t>
  </si>
  <si>
    <t>Invest_02</t>
  </si>
  <si>
    <t>CONTAS_PAGAR</t>
  </si>
  <si>
    <t>Fatur_46</t>
  </si>
  <si>
    <t>Invest_46</t>
  </si>
  <si>
    <t>Fatur_19</t>
  </si>
  <si>
    <t>Fatur_21</t>
  </si>
  <si>
    <t>RE_INVESTIMENTOS_UTENSILIO</t>
  </si>
  <si>
    <t>Invest_19</t>
  </si>
  <si>
    <t>Invest_21</t>
  </si>
  <si>
    <t>LOJA</t>
  </si>
  <si>
    <t>CONSULTOR</t>
  </si>
  <si>
    <t>% PROP</t>
  </si>
  <si>
    <t>BRUNO</t>
  </si>
  <si>
    <t>COD_LOJA</t>
  </si>
  <si>
    <t>REGIAO_CONSULTORIA</t>
  </si>
  <si>
    <t>CONTAS_A_RECEBER_POTENCIAL_A_EMITIR</t>
  </si>
  <si>
    <t>CR</t>
  </si>
  <si>
    <t>UTENSILIO</t>
  </si>
  <si>
    <t>CP</t>
  </si>
  <si>
    <t>CTR</t>
  </si>
  <si>
    <t>FAT</t>
  </si>
  <si>
    <t>DIAS</t>
  </si>
  <si>
    <t>CLI</t>
  </si>
  <si>
    <t>FUNC</t>
  </si>
  <si>
    <t>EQUIPO</t>
  </si>
  <si>
    <t>TICKET</t>
  </si>
  <si>
    <t>MKT</t>
  </si>
  <si>
    <t>DESP</t>
  </si>
  <si>
    <t>DATA_PRIM_FAT</t>
  </si>
  <si>
    <t>GRUPOS_CONVENCAO</t>
  </si>
  <si>
    <t>GRUPO_1</t>
  </si>
  <si>
    <t>GRUPO_2</t>
  </si>
  <si>
    <t>001 - RIO CLARO</t>
  </si>
  <si>
    <t>RC4</t>
  </si>
  <si>
    <t>Propria</t>
  </si>
  <si>
    <t>PROP (1)</t>
  </si>
  <si>
    <t>002 - ARARAS</t>
  </si>
  <si>
    <t>RC1</t>
  </si>
  <si>
    <t>003 - SAO CARLOS</t>
  </si>
  <si>
    <t>Andre</t>
  </si>
  <si>
    <t>004 - AMERICANA</t>
  </si>
  <si>
    <t>RC2</t>
  </si>
  <si>
    <t>Luis</t>
  </si>
  <si>
    <t>AMERIC</t>
  </si>
  <si>
    <t>005 - LIMEIRA</t>
  </si>
  <si>
    <t>006 - SANTA BARBARA</t>
  </si>
  <si>
    <t>007 - MOGI GUACU</t>
  </si>
  <si>
    <t>RC3</t>
  </si>
  <si>
    <t>Erica</t>
  </si>
  <si>
    <t>008 - LEME</t>
  </si>
  <si>
    <t>009 - SUMARE</t>
  </si>
  <si>
    <t>010 - ARACATUBA</t>
  </si>
  <si>
    <t>011 - PORTO FERREIRA</t>
  </si>
  <si>
    <t>012 - MARINGA</t>
  </si>
  <si>
    <t>014 - PIRACICABA</t>
  </si>
  <si>
    <t>PROP (2)</t>
  </si>
  <si>
    <t>015 - CATANDUVA</t>
  </si>
  <si>
    <t>016 - INDAIATUBA</t>
  </si>
  <si>
    <t>017 - TAUBATE</t>
  </si>
  <si>
    <t>SAN</t>
  </si>
  <si>
    <t>018 - PAULINIA</t>
  </si>
  <si>
    <t>019 - NOVA ODESSA</t>
  </si>
  <si>
    <t>020 - ARARAQUARA</t>
  </si>
  <si>
    <t>021 - BIRIGUI</t>
  </si>
  <si>
    <t>022 - JUNDIAI</t>
  </si>
  <si>
    <t>023 - P. PRUDENTE</t>
  </si>
  <si>
    <t>024 - FRANCA</t>
  </si>
  <si>
    <t>025 - POUSO ALEGRE</t>
  </si>
  <si>
    <t>026 - MOGI MIRIM</t>
  </si>
  <si>
    <t>027 - MANAUS</t>
  </si>
  <si>
    <t>NE</t>
  </si>
  <si>
    <t>028 - SOROCABA</t>
  </si>
  <si>
    <t>SOROC</t>
  </si>
  <si>
    <t>029 - JUIZ DE FORA</t>
  </si>
  <si>
    <t>RIO</t>
  </si>
  <si>
    <t>030 - RIBEIRAO PRETO</t>
  </si>
  <si>
    <t>PROP (3)</t>
  </si>
  <si>
    <t>031 - CAMPOS DOS GOYTACAZES</t>
  </si>
  <si>
    <t>GIL</t>
  </si>
  <si>
    <t>032 - SAO JOSE DO RIO PRETO</t>
  </si>
  <si>
    <t>033 - SANTOS</t>
  </si>
  <si>
    <t>034 - CAMPO GRANDE</t>
  </si>
  <si>
    <t>035 - BAURU</t>
  </si>
  <si>
    <t>036 - SAO CRISTOVAO</t>
  </si>
  <si>
    <t>037 - SAO JOAO DA BOA VISTA</t>
  </si>
  <si>
    <t>038 - LONDRINA</t>
  </si>
  <si>
    <t>039 - BARUERI</t>
  </si>
  <si>
    <t>040 - RIO DE JANEIRO - JACAREPAGUA</t>
  </si>
  <si>
    <t>041 - SAO JOSE DOS CAMPOS</t>
  </si>
  <si>
    <t>042 - PORTO VELHO</t>
  </si>
  <si>
    <t>043 - SAO PAULO-SANTANA</t>
  </si>
  <si>
    <t>044 - CAIEIRAS</t>
  </si>
  <si>
    <t>045 - VILA VELHA</t>
  </si>
  <si>
    <t>046 - SERTAOZINHO</t>
  </si>
  <si>
    <t>047 - VALINHOS</t>
  </si>
  <si>
    <t>048 - BRAGANCA PAULISTA</t>
  </si>
  <si>
    <t>049 - SERRA</t>
  </si>
  <si>
    <t>050 - RIO CLARO</t>
  </si>
  <si>
    <t>051 - NITEROI</t>
  </si>
  <si>
    <t>052 - CARAGUATATUBA</t>
  </si>
  <si>
    <t>053 - PIRASSUNUNGA</t>
  </si>
  <si>
    <t>054 - COTIA</t>
  </si>
  <si>
    <t>055 - PRAIA GRANDE</t>
  </si>
  <si>
    <t>056 - ATIBAIA</t>
  </si>
  <si>
    <t>057 - CURITIBA</t>
  </si>
  <si>
    <t>058 - SOROCABA</t>
  </si>
  <si>
    <t>059 - RIO DAS OSTRAS</t>
  </si>
  <si>
    <t>060 - ITATIBA</t>
  </si>
  <si>
    <t>061 - ARAPONGAS</t>
  </si>
  <si>
    <t>062 - DOURADOS</t>
  </si>
  <si>
    <t>063 - GUARULHOS</t>
  </si>
  <si>
    <t>064 - BOM RETIRO</t>
  </si>
  <si>
    <t>065 - CASCAVEL</t>
  </si>
  <si>
    <t>066 - GUARATINGUETA</t>
  </si>
  <si>
    <t>067 - PIRACICABA</t>
  </si>
  <si>
    <t>068 - NOVA IGUACU</t>
  </si>
  <si>
    <t>069 - TERESINA</t>
  </si>
  <si>
    <t>070 - UMUARAMA</t>
  </si>
  <si>
    <t>071 - CUIABA</t>
  </si>
  <si>
    <t>072 - PALHOCA</t>
  </si>
  <si>
    <t>073 - LAURO DE FREITAS</t>
  </si>
  <si>
    <t>074 - POCOS DE CALDAS</t>
  </si>
  <si>
    <t>075 - OSASCO</t>
  </si>
  <si>
    <t>077 - ARARAS II</t>
  </si>
  <si>
    <t>078 - JACAREI</t>
  </si>
  <si>
    <t>079 - CATALAO</t>
  </si>
  <si>
    <t>080 - ITAUNA</t>
  </si>
  <si>
    <t>081 - MACEIO</t>
  </si>
  <si>
    <t>082 - UBATUBA</t>
  </si>
  <si>
    <t>083 - CONSELHEIRO LAFAIETE</t>
  </si>
  <si>
    <t>084 - JOAO PESSOA</t>
  </si>
  <si>
    <t>085 - ITAQUAQUECETUBA</t>
  </si>
  <si>
    <t>086 - UBERLANDIA</t>
  </si>
  <si>
    <t>087 - BLUMENAU</t>
  </si>
  <si>
    <t>088 - PALMAS</t>
  </si>
  <si>
    <t>089 - BEBEDOURO</t>
  </si>
  <si>
    <t>090 - SAO BERNARDO DO CAMPO</t>
  </si>
  <si>
    <t>091 - JABOTICABAL</t>
  </si>
  <si>
    <t>092 - UBERABA</t>
  </si>
  <si>
    <t>093 - CAMPO GRANDE - RJ</t>
  </si>
  <si>
    <t>094 - ARACAJU</t>
  </si>
  <si>
    <t>095 - VALPARAISO DE GOIAS</t>
  </si>
  <si>
    <t>096 - PASSOS</t>
  </si>
  <si>
    <t>097 - SAO LUIS</t>
  </si>
  <si>
    <t>098 - JAU</t>
  </si>
  <si>
    <t>099 - PIEDADE</t>
  </si>
  <si>
    <t>100 - CAMPINAS</t>
  </si>
  <si>
    <t>101 - VARGEM GRANDE PAULISTA</t>
  </si>
  <si>
    <t>102 - APARECIDA</t>
  </si>
  <si>
    <t>103 - BOTUCATU</t>
  </si>
  <si>
    <t>104 - CARIACICA</t>
  </si>
  <si>
    <t>105 - CAMPINA GRANDE</t>
  </si>
  <si>
    <t>106 - SANTO ANDRE</t>
  </si>
  <si>
    <t>107 - HORTOLANDIA</t>
  </si>
  <si>
    <t>108 - SOROCABA</t>
  </si>
  <si>
    <t>109 - MACAE</t>
  </si>
  <si>
    <t>110 - OUROFINO</t>
  </si>
  <si>
    <t>111 - CABO FRIO</t>
  </si>
  <si>
    <t>112 - FORTALEZA</t>
  </si>
  <si>
    <t>113 - OLIMPIA</t>
  </si>
  <si>
    <t>114 - PINDAMONHANGABA</t>
  </si>
  <si>
    <t>115 - GOVERNADOR VALADARES</t>
  </si>
  <si>
    <t>116 - BARRA DE SAO FRANCISCO</t>
  </si>
  <si>
    <t>117 - RESENDE</t>
  </si>
  <si>
    <t>118 - IBIUNA</t>
  </si>
  <si>
    <t>119 - BRASILIA</t>
  </si>
  <si>
    <t>120 - BRASILIA</t>
  </si>
  <si>
    <t>121 - MOGI DAS CRUZES</t>
  </si>
  <si>
    <t>122 - BRASILIA - TAGUATINGA</t>
  </si>
  <si>
    <t>123 - MOCOCA</t>
  </si>
  <si>
    <t>124 - MARILIA</t>
  </si>
  <si>
    <t>125 - ITAJAI</t>
  </si>
  <si>
    <t>126 - ANAPOLIS</t>
  </si>
  <si>
    <t>127 - DIVINOPOLIS</t>
  </si>
  <si>
    <t>128 - AMPARO</t>
  </si>
  <si>
    <t>129 - SALVADOR</t>
  </si>
  <si>
    <t>130 - SAO SEBASTIAO</t>
  </si>
  <si>
    <t>131 - BELEM</t>
  </si>
  <si>
    <t>132 - FORMOSA</t>
  </si>
  <si>
    <t>133 - SÃO GONÇALO RJ</t>
  </si>
  <si>
    <t>134 - DUQUE DE CAXIAS</t>
  </si>
  <si>
    <t>135 - JUIZ DE FORA II</t>
  </si>
  <si>
    <t>136 - PONTA GROSSA</t>
  </si>
  <si>
    <t>137 - MARINGA VELHO</t>
  </si>
  <si>
    <t>138 - SOBRAL</t>
  </si>
  <si>
    <t>139 - ARAGUAÍNA</t>
  </si>
  <si>
    <t>140 - CANOAS</t>
  </si>
  <si>
    <t>141 - FOZ DO IGUAÇU</t>
  </si>
  <si>
    <t>142 - PETROLINA</t>
  </si>
  <si>
    <t>143 - CIANORTE</t>
  </si>
  <si>
    <t>144 - CAMPO LIMPO PAULISTA</t>
  </si>
  <si>
    <t>145 - COSMÓPOLIS</t>
  </si>
  <si>
    <t xml:space="preserve">146 - BOA VISTA </t>
  </si>
  <si>
    <t>147 - FRANCISCO MORATO</t>
  </si>
  <si>
    <t>148 - TRES LAGOAS</t>
  </si>
  <si>
    <t>149 - FRANCO DA ROCHA</t>
  </si>
  <si>
    <t>150 - RIBEIRA PRETO II</t>
  </si>
  <si>
    <t>151 - CRAVINHOS</t>
  </si>
  <si>
    <t>152 - OSWALDO CRUZ</t>
  </si>
  <si>
    <t>153 - VARGINHA</t>
  </si>
  <si>
    <t>154 - PINHAIS</t>
  </si>
  <si>
    <t>155 - SINOP</t>
  </si>
  <si>
    <t>156 - GARÇA</t>
  </si>
  <si>
    <t>157 - ITUMBIARA</t>
  </si>
  <si>
    <t>158 - ASSIS</t>
  </si>
  <si>
    <t>159 - ITU</t>
  </si>
  <si>
    <t>160 - ALFENAS</t>
  </si>
  <si>
    <t>161 - ARAGRUS</t>
  </si>
  <si>
    <t>162 - SAO JOAO DA BOA VISTA</t>
  </si>
  <si>
    <t>163 - AGUAS LINDAS DE GOIAS</t>
  </si>
  <si>
    <t>164 - LUCAS DO RIO VERDE</t>
  </si>
  <si>
    <t>165 - SANTO ANTONIO DE PADUA</t>
  </si>
  <si>
    <t>166 - SANTA RITA PASSA QUATRO</t>
  </si>
  <si>
    <t>167 - PATOS DE MINAS</t>
  </si>
  <si>
    <t>168 - CACHOEIRO DE ITAPEMIRIM</t>
  </si>
  <si>
    <t>169 - FRANCA</t>
  </si>
  <si>
    <t>170 - CAMPINAS</t>
  </si>
  <si>
    <t>171 - FLORIANOPOLIS</t>
  </si>
  <si>
    <t>172 - ITAPIRA</t>
  </si>
  <si>
    <t>173 - SAO VICENTE</t>
  </si>
  <si>
    <t>174 - NATAL</t>
  </si>
  <si>
    <t>175 - ARAPIRACA</t>
  </si>
  <si>
    <t>176 - SETE LAGOAS</t>
  </si>
  <si>
    <t>177 - LINS</t>
  </si>
  <si>
    <t>178 - CAJAMAR</t>
  </si>
  <si>
    <t>179 - JACAREPAGA II</t>
  </si>
  <si>
    <t xml:space="preserve">180 - ARAXA </t>
  </si>
  <si>
    <t>181 - CAMPOS DOS GOYTACAZES II</t>
  </si>
  <si>
    <t>182 - POA</t>
  </si>
  <si>
    <t>183 - CAPIVARI</t>
  </si>
  <si>
    <t>184 - JARAGUA II</t>
  </si>
  <si>
    <t>185 - NOVO HAMBURGO</t>
  </si>
  <si>
    <t>187 - AVARE</t>
  </si>
  <si>
    <t>Fatur_31</t>
  </si>
  <si>
    <t>Invest_31</t>
  </si>
  <si>
    <t>ID</t>
  </si>
  <si>
    <t>COD_LOJA1</t>
  </si>
  <si>
    <t>186 - CIDADE DUTRA - SP</t>
  </si>
  <si>
    <t>189 - BARRETOS</t>
  </si>
  <si>
    <t>Ano/Mês</t>
  </si>
  <si>
    <t>188 - VOTORANTIM</t>
  </si>
  <si>
    <t>r</t>
  </si>
  <si>
    <t>FINANCIAMENTOEQUIPAMENTO_TOTAL</t>
  </si>
  <si>
    <t>FINANCIAMENTOUTENSILIO_TOTAL</t>
  </si>
  <si>
    <t>DEVOLUCAO_DE_EMPRESTIMOS_TOTAL</t>
  </si>
  <si>
    <t>CONTASPAGAR_A_VENCER_TOTAL</t>
  </si>
  <si>
    <t>190 - CAMBE</t>
  </si>
  <si>
    <t>191 - PALMAS</t>
  </si>
  <si>
    <t>192 - NOSSA SENHORA DO SOCORRO</t>
  </si>
  <si>
    <t>193 - NITEROI</t>
  </si>
  <si>
    <t>194 - TRINDADE</t>
  </si>
  <si>
    <t>195 - PARAUAPEBAS</t>
  </si>
  <si>
    <t>196 - RIO DE JANEIRO</t>
  </si>
  <si>
    <t>197 - SUZANO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</si>
</sst>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[$-416]mmm\-yy;@"/>
    <numFmt numFmtId="166" formatCode="&quot;R$&quot;\ #,##0.00_);\(&quot;R$&quot;\ #,##0.00\)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theme="0" tint="-0.14999847407452621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</borders>
  <cellStyleXfs count="24">
    <xf numFmtId="0" fontId="0" fillId="0" borderId="0"/>
    <xf numFmtId="164" fontId="24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9" fontId="25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</cellStyleXfs>
  <cellXfs count="59">
    <xf numFmtId="0" fontId="0" fillId="0" borderId="0" xfId="0"/>
    <xf numFmtId="0" fontId="23" fillId="0" borderId="0" xfId="0" applyFont="1"/>
    <xf numFmtId="0" fontId="27" fillId="0" borderId="0" xfId="0" applyFont="1" applyAlignment="1">
      <alignment horizontal="center"/>
    </xf>
    <xf numFmtId="0" fontId="28" fillId="0" borderId="2" xfId="0" applyFont="1" applyBorder="1"/>
    <xf numFmtId="165" fontId="28" fillId="0" borderId="2" xfId="0" applyNumberFormat="1" applyFont="1" applyBorder="1" applyAlignment="1">
      <alignment horizontal="center"/>
    </xf>
    <xf numFmtId="9" fontId="28" fillId="0" borderId="2" xfId="0" applyNumberFormat="1" applyFont="1" applyBorder="1"/>
    <xf numFmtId="0" fontId="28" fillId="0" borderId="1" xfId="0" applyFont="1" applyBorder="1"/>
    <xf numFmtId="165" fontId="28" fillId="0" borderId="1" xfId="0" applyNumberFormat="1" applyFont="1" applyBorder="1" applyAlignment="1">
      <alignment horizontal="center"/>
    </xf>
    <xf numFmtId="9" fontId="28" fillId="0" borderId="1" xfId="0" applyNumberFormat="1" applyFont="1" applyBorder="1"/>
    <xf numFmtId="0" fontId="30" fillId="2" borderId="1" xfId="0" applyFont="1" applyFill="1" applyBorder="1" applyAlignment="1">
      <alignment horizontal="center" vertical="top"/>
    </xf>
    <xf numFmtId="165" fontId="30" fillId="2" borderId="1" xfId="0" applyNumberFormat="1" applyFont="1" applyFill="1" applyBorder="1" applyAlignment="1">
      <alignment horizontal="center" vertical="top"/>
    </xf>
    <xf numFmtId="0" fontId="31" fillId="0" borderId="1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28" fillId="0" borderId="8" xfId="0" applyFont="1" applyBorder="1"/>
    <xf numFmtId="0" fontId="28" fillId="0" borderId="7" xfId="0" applyFont="1" applyBorder="1"/>
    <xf numFmtId="0" fontId="28" fillId="0" borderId="10" xfId="0" applyFont="1" applyBorder="1"/>
    <xf numFmtId="165" fontId="28" fillId="0" borderId="10" xfId="0" applyNumberFormat="1" applyFont="1" applyBorder="1" applyAlignment="1">
      <alignment horizontal="center"/>
    </xf>
    <xf numFmtId="0" fontId="28" fillId="0" borderId="5" xfId="0" applyFont="1" applyBorder="1"/>
    <xf numFmtId="0" fontId="0" fillId="0" borderId="9" xfId="0" applyBorder="1"/>
    <xf numFmtId="0" fontId="30" fillId="9" borderId="2" xfId="0" applyFont="1" applyFill="1" applyBorder="1" applyAlignment="1">
      <alignment horizontal="center" vertical="top"/>
    </xf>
    <xf numFmtId="165" fontId="30" fillId="9" borderId="2" xfId="0" applyNumberFormat="1" applyFont="1" applyFill="1" applyBorder="1" applyAlignment="1">
      <alignment horizontal="center" vertical="top"/>
    </xf>
    <xf numFmtId="0" fontId="30" fillId="9" borderId="8" xfId="0" applyFont="1" applyFill="1" applyBorder="1" applyAlignment="1">
      <alignment horizontal="center" vertical="top"/>
    </xf>
    <xf numFmtId="0" fontId="28" fillId="10" borderId="1" xfId="0" applyFont="1" applyFill="1" applyBorder="1"/>
    <xf numFmtId="0" fontId="0" fillId="0" borderId="10" xfId="0" applyBorder="1"/>
    <xf numFmtId="0" fontId="28" fillId="10" borderId="2" xfId="0" applyFont="1" applyFill="1" applyBorder="1"/>
    <xf numFmtId="0" fontId="0" fillId="0" borderId="7" xfId="0" applyBorder="1"/>
    <xf numFmtId="0" fontId="0" fillId="0" borderId="3" xfId="0" applyBorder="1"/>
    <xf numFmtId="0" fontId="28" fillId="10" borderId="4" xfId="0" applyFont="1" applyFill="1" applyBorder="1"/>
    <xf numFmtId="0" fontId="28" fillId="10" borderId="8" xfId="0" applyFont="1" applyFill="1" applyBorder="1"/>
    <xf numFmtId="0" fontId="28" fillId="10" borderId="11" xfId="0" applyFont="1" applyFill="1" applyBorder="1"/>
    <xf numFmtId="0" fontId="28" fillId="0" borderId="4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8" borderId="8" xfId="0" applyFont="1" applyFill="1" applyBorder="1"/>
    <xf numFmtId="0" fontId="28" fillId="8" borderId="13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center"/>
    </xf>
    <xf numFmtId="0" fontId="0" fillId="0" borderId="1" xfId="0" applyNumberFormat="1" applyBorder="1"/>
    <xf numFmtId="0" fontId="28" fillId="0" borderId="5" xfId="0" applyNumberFormat="1" applyFont="1" applyBorder="1"/>
    <xf numFmtId="165" fontId="28" fillId="0" borderId="1" xfId="0" applyNumberFormat="1" applyFont="1" applyBorder="1"/>
    <xf numFmtId="164" fontId="33" fillId="0" borderId="1" xfId="1" applyFont="1" applyFill="1" applyBorder="1"/>
    <xf numFmtId="10" fontId="33" fillId="0" borderId="1" xfId="5" applyNumberFormat="1" applyFont="1" applyFill="1" applyBorder="1"/>
    <xf numFmtId="166" fontId="2" fillId="0" borderId="1" xfId="0" applyNumberFormat="1" applyFont="1" applyFill="1" applyBorder="1"/>
    <xf numFmtId="9" fontId="23" fillId="0" borderId="1" xfId="5" applyFont="1" applyFill="1" applyBorder="1"/>
    <xf numFmtId="0" fontId="28" fillId="0" borderId="7" xfId="0" applyNumberFormat="1" applyFont="1" applyBorder="1"/>
    <xf numFmtId="0" fontId="29" fillId="0" borderId="10" xfId="0" applyFont="1" applyBorder="1" applyAlignment="1">
      <alignment horizontal="center"/>
    </xf>
    <xf numFmtId="0" fontId="29" fillId="2" borderId="10" xfId="0" applyFont="1" applyFill="1" applyBorder="1" applyAlignment="1">
      <alignment horizontal="center"/>
    </xf>
    <xf numFmtId="0" fontId="31" fillId="4" borderId="1" xfId="0" applyFont="1" applyFill="1" applyBorder="1" applyAlignment="1">
      <alignment horizontal="center"/>
    </xf>
    <xf numFmtId="0" fontId="31" fillId="5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0" fontId="31" fillId="6" borderId="1" xfId="0" applyFont="1" applyFill="1" applyBorder="1" applyAlignment="1">
      <alignment horizontal="center"/>
    </xf>
    <xf numFmtId="0" fontId="31" fillId="3" borderId="1" xfId="0" applyFont="1" applyFill="1" applyBorder="1" applyAlignment="1">
      <alignment horizontal="center"/>
    </xf>
    <xf numFmtId="0" fontId="31" fillId="7" borderId="1" xfId="0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166" fontId="1" fillId="0" borderId="1" xfId="0" applyNumberFormat="1" applyFont="1" applyFill="1" applyBorder="1"/>
  </cellXfs>
  <cellStyles count="24">
    <cellStyle name="Comma" xfId="1" builtinId="3"/>
    <cellStyle name="Normal" xfId="0" builtinId="0"/>
    <cellStyle name="Normal 10" xfId="12"/>
    <cellStyle name="Normal 11" xfId="13"/>
    <cellStyle name="Normal 12" xfId="14"/>
    <cellStyle name="Normal 13" xfId="15"/>
    <cellStyle name="Normal 14" xfId="16"/>
    <cellStyle name="Normal 15" xfId="17"/>
    <cellStyle name="Normal 16" xfId="18"/>
    <cellStyle name="Normal 17" xfId="19"/>
    <cellStyle name="Normal 18" xfId="20"/>
    <cellStyle name="Normal 19" xfId="21"/>
    <cellStyle name="Normal 2" xfId="2"/>
    <cellStyle name="Normal 20" xfId="22"/>
    <cellStyle name="Normal 21" xfId="23"/>
    <cellStyle name="Normal 3" xfId="3"/>
    <cellStyle name="Normal 4" xfId="4"/>
    <cellStyle name="Normal 5" xfId="7"/>
    <cellStyle name="Normal 6" xfId="8"/>
    <cellStyle name="Normal 7" xfId="9"/>
    <cellStyle name="Normal 8" xfId="10"/>
    <cellStyle name="Normal 9" xfId="11"/>
    <cellStyle name="Percent" xfId="5" builtinId="5"/>
    <cellStyle name="Vírgula 2" xfId="6"/>
  </cellStyles>
  <dxfs count="268"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theme="0" tint="-0.14999847407452621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theme="0" tint="-0.14999847407452621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9"/>
        <color theme="1"/>
        <name val="Calibri"/>
        <scheme val="minor"/>
      </font>
      <numFmt numFmtId="165" formatCode="[$-416]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R$&quot;\ #,##0.00_);\(&quot;R$&quot;\ 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416]mmm\-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416]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416]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top style="thin">
          <color indexed="64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66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3" name="Tabela3" displayName="Tabela3" ref="A2:HS11" totalsRowShown="0" headerRowDxfId="267" headerRowBorderDxfId="266" tableBorderDxfId="265">
  <autoFilter ref="A2:HS11"/>
  <tableColumns count="227">
    <tableColumn id="1" name="COD_LOJA1" dataDxfId="264"/>
    <tableColumn id="2" name="LOJA" dataDxfId="263">
      <calculatedColumnFormula>VLOOKUP(Tabela3[[#This Row],[COD_LOJA1]],Tabela2[],2,FALSE)</calculatedColumnFormula>
    </tableColumn>
    <tableColumn id="3" name="DATA_PRIM_FAT" dataDxfId="262">
      <calculatedColumnFormula>VLOOKUP(Tabela3[[#This Row],[COD_LOJA1]],Tabela2[],3,FALSE)</calculatedColumnFormula>
    </tableColumn>
    <tableColumn id="4" name="GRUPOS_CONVENCAO" dataDxfId="261">
      <calculatedColumnFormula>VLOOKUP(Tabela3[[#This Row],[COD_LOJA1]],Tabela2[],4,FALSE)</calculatedColumnFormula>
    </tableColumn>
    <tableColumn id="5" name="REGIAO_CONSULTORIA" dataDxfId="260">
      <calculatedColumnFormula>VLOOKUP(Tabela3[[#This Row],[COD_LOJA1]],Tabela2[],5,FALSE)</calculatedColumnFormula>
    </tableColumn>
    <tableColumn id="6" name="CONSULTOR" dataDxfId="259">
      <calculatedColumnFormula>VLOOKUP(Tabela3[[#This Row],[COD_LOJA1]],Tabela2[],6,FALSE)</calculatedColumnFormula>
    </tableColumn>
    <tableColumn id="47" name="Ano/Mês" dataDxfId="258">
      <calculatedColumnFormula>DATEVALUE(CONCATENATE("01/",Tabela3[[#This Row],[Mes]],"/",Tabela3[[#This Row],[Ano]]))</calculatedColumnFormula>
    </tableColumn>
    <tableColumn id="10" name="Mes" dataDxfId="257"/>
    <tableColumn id="11" name="Ano" dataDxfId="256"/>
    <tableColumn id="12" name="TOT_CLI_PJ" dataDxfId="255"/>
    <tableColumn id="13" name="TOT_CLI_PF" dataDxfId="254"/>
    <tableColumn id="14" name="TOT_CLI_Q" dataDxfId="253"/>
    <tableColumn id="15" name="TOT_CLI" dataDxfId="252"/>
    <tableColumn id="16" name="CLI_NOVOS_PJ" dataDxfId="251"/>
    <tableColumn id="17" name="CLI_NOVOS_PF" dataDxfId="250"/>
    <tableColumn id="18" name="CLI_NOVOS_Q" dataDxfId="249"/>
    <tableColumn id="19" name="CLI_NOVOS" dataDxfId="248"/>
    <tableColumn id="20" name="CLI_ATIVOS_PJ" dataDxfId="247"/>
    <tableColumn id="21" name="CLI_ATIVOS_PF" dataDxfId="246"/>
    <tableColumn id="22" name="CLI_ATIVOS_Q" dataDxfId="245"/>
    <tableColumn id="23" name="CLI_ATIVOS" dataDxfId="244"/>
    <tableColumn id="24" name="CONTASPAGAR_A_VENCER" dataDxfId="243"/>
    <tableColumn id="25" name="CPG_30DD" dataDxfId="242"/>
    <tableColumn id="26" name="CPG_31_60DD" dataDxfId="241"/>
    <tableColumn id="27" name="CPG_61_90DD" dataDxfId="240"/>
    <tableColumn id="28" name="CPG_MAIOR_90DD" dataDxfId="239"/>
    <tableColumn id="30" name="RECEBIMENTO_MES" dataDxfId="238"/>
    <tableColumn id="31" name="RECEBIMENTO_31_60" dataDxfId="237"/>
    <tableColumn id="32" name="RECEBIMENTO_61_90" dataDxfId="236"/>
    <tableColumn id="33" name="RECEBIMENTO_ANTECIPADO" dataDxfId="235"/>
    <tableColumn id="34" name="RECUPERACAO_DE_FPA" dataDxfId="234"/>
    <tableColumn id="35" name="OUTROS_RECEBIMENTOS" dataDxfId="233"/>
    <tableColumn id="36" name="CONTAS_RECEBER_NAO_EMITIDAS" dataDxfId="232"/>
    <tableColumn id="37" name="RECEBIMENTO_PREVISTO_NO_PERIODO" dataDxfId="231"/>
    <tableColumn id="38" name="INADIMP_31_60" dataDxfId="230"/>
    <tableColumn id="39" name="INADIMP_61_90" dataDxfId="229"/>
    <tableColumn id="40" name="OUTROS_RECEBIMENTOS_NO_PERIODO" dataDxfId="228"/>
    <tableColumn id="41" name="CONTAS_A_RECEBER_POTENCIAL_A_EMITIR" dataDxfId="227"/>
    <tableColumn id="42" name="CONTAS_A_RECEBER_EMITIDAS" dataDxfId="226"/>
    <tableColumn id="43" name="INADIMP_91_120" dataDxfId="225"/>
    <tableColumn id="44" name="FUNDO_PERDIDO_ACM" dataDxfId="224"/>
    <tableColumn id="50" name="CR_EMITIDOS_PJ" dataDxfId="223"/>
    <tableColumn id="51" name="CR_EMITIDOS_PF" dataDxfId="222"/>
    <tableColumn id="52" name="CR_EMITIDOS_Q" dataDxfId="221"/>
    <tableColumn id="53" name="CR_EMITIDOS" dataDxfId="220"/>
    <tableColumn id="54" name="CR_RECEBIDOS_PJ" dataDxfId="219"/>
    <tableColumn id="55" name="CR_RECEBIDOS_PF" dataDxfId="218"/>
    <tableColumn id="56" name="CR_RECEBIDOS_Q" dataDxfId="217"/>
    <tableColumn id="57" name="CR_RECEBIDOS" dataDxfId="216"/>
    <tableColumn id="58" name="CONTRATOS_NAO_COBRADOS" dataDxfId="215"/>
    <tableColumn id="59" name="CTRZERADOS" dataDxfId="214"/>
    <tableColumn id="60" name="CTRZERADOS_COMAJUSTE" dataDxfId="213"/>
    <tableColumn id="61" name="DESC_CTRS_ENCERRADOS" dataDxfId="212"/>
    <tableColumn id="62" name="DESC_CTRS_EMANDAMENTO" dataDxfId="211"/>
    <tableColumn id="63" name="CTR_ENVOLVIDOS_PJ" dataDxfId="210"/>
    <tableColumn id="64" name="CTR_ENVOLVIDOS_PF" dataDxfId="209"/>
    <tableColumn id="65" name="CTR_ENVOLVIDOS_Q" dataDxfId="208"/>
    <tableColumn id="66" name="CTR_ENVOLVIDOS" dataDxfId="207"/>
    <tableColumn id="67" name="TOT_CTR_REALIZADOS_PJ" dataDxfId="206"/>
    <tableColumn id="68" name="TOT_CTR_REALIZADOS_PF" dataDxfId="205"/>
    <tableColumn id="69" name="TOT_CTR_REALIZADOS_Q" dataDxfId="204"/>
    <tableColumn id="70" name="TOT_CTR_REALIZADOS" dataDxfId="203"/>
    <tableColumn id="71" name="TOT_CTR_CANCELADOS_PJ" dataDxfId="202"/>
    <tableColumn id="72" name="TOT_CTR_CANCELADOS_PF" dataDxfId="201"/>
    <tableColumn id="73" name="TOT_CTR_CANCELADOS_Q" dataDxfId="200"/>
    <tableColumn id="74" name="TOT_CTR_CANCELADOS" dataDxfId="199"/>
    <tableColumn id="75" name="MEDIACTR" dataDxfId="198"/>
    <tableColumn id="76" name="A1-PESSOAIS" dataDxfId="197"/>
    <tableColumn id="77" name="A2-MAQUINAS E EQUIP. ATIVOS" dataDxfId="196"/>
    <tableColumn id="78" name="A3-VEICULOS" dataDxfId="195"/>
    <tableColumn id="79" name="A4-MATERIAIS DE EXPEDIENTE" dataDxfId="194"/>
    <tableColumn id="80" name="A5-IMOVEIS" dataDxfId="193"/>
    <tableColumn id="81" name="A6-COMUNICAÇÃO" dataDxfId="192"/>
    <tableColumn id="82" name="A7-SERVICOS TERCEIRIZADOS" dataDxfId="191"/>
    <tableColumn id="83" name="A8-IMPOSTOS E TAXAS" dataDxfId="190"/>
    <tableColumn id="84" name="B1-PROPAGANDA E PUBLICIDADE" dataDxfId="189"/>
    <tableColumn id="85" name="B2-VIAGENS FRANQUEADO" dataDxfId="188"/>
    <tableColumn id="86" name="C1-INVESTIMENTOS" dataDxfId="187"/>
    <tableColumn id="87" name="C2-VENDAS - CIRCULANTE" dataDxfId="186"/>
    <tableColumn id="88" name="D1-BANCO DE OFERTAS - LOCADOR 75%" dataDxfId="185"/>
    <tableColumn id="89" name="E1-REEMBOLSOS" dataDxfId="184"/>
    <tableColumn id="90" name="G1-CAIXA ( DEBITO )" dataDxfId="183"/>
    <tableColumn id="91" name="H0-RETIRADA DE LUCRO" dataDxfId="182"/>
    <tableColumn id="92" name="C3-INVESTIMENTO INICIAL" dataDxfId="181"/>
    <tableColumn id="93" name="G5-BANCO ( SAIDA )" dataDxfId="180"/>
    <tableColumn id="94" name="D2-BANCO DE OFERTAS - PARCEIROS" dataDxfId="179"/>
    <tableColumn id="95" name="A9-DEPESAS EXTRAS" dataDxfId="178"/>
    <tableColumn id="96" name="DIAS_TRABALHADOS" dataDxfId="177"/>
    <tableColumn id="97" name="FINANCIAMENTOEQUIPAMENTO" dataDxfId="176"/>
    <tableColumn id="98" name="RE_INVESTIMENTOS" dataDxfId="175"/>
    <tableColumn id="99" name="TOTALINVESTIMENTO" dataDxfId="174"/>
    <tableColumn id="100" name="INVESTIMENTOS" dataDxfId="173"/>
    <tableColumn id="101" name="INVESTIMENTOS_CUSTOATUAL" dataDxfId="172"/>
    <tableColumn id="102" name="EQUIP_PERDIDOS" dataDxfId="171"/>
    <tableColumn id="103" name="EQUIP_PERDIDOS_CUSTOATUAL" dataDxfId="170"/>
    <tableColumn id="104" name="INVENTARIO" dataDxfId="169"/>
    <tableColumn id="105" name="INVENTARIO_CUSTOATUAL" dataDxfId="168"/>
    <tableColumn id="106" name="Invest_01" dataDxfId="167"/>
    <tableColumn id="107" name="Fatur_01" dataDxfId="166"/>
    <tableColumn id="108" name="Invest_02" dataDxfId="165"/>
    <tableColumn id="109" name="Fatur_02" dataDxfId="164"/>
    <tableColumn id="110" name="Invest_05" dataDxfId="163"/>
    <tableColumn id="111" name="Fatur_05" dataDxfId="162"/>
    <tableColumn id="112" name="Invest_07" dataDxfId="161"/>
    <tableColumn id="113" name="Fatur_07" dataDxfId="160"/>
    <tableColumn id="114" name="Invest_08" dataDxfId="159"/>
    <tableColumn id="115" name="Fatur_08" dataDxfId="158"/>
    <tableColumn id="116" name="Invest_10" dataDxfId="157"/>
    <tableColumn id="117" name="Fatur_10" dataDxfId="156"/>
    <tableColumn id="118" name="Invest_12" dataDxfId="155"/>
    <tableColumn id="119" name="Fatur_12" dataDxfId="154"/>
    <tableColumn id="120" name="Invest_15" dataDxfId="153"/>
    <tableColumn id="121" name="Fatur_15" dataDxfId="152"/>
    <tableColumn id="122" name="Invest_17" dataDxfId="151"/>
    <tableColumn id="123" name="Fatur_17" dataDxfId="150"/>
    <tableColumn id="124" name="Invest_19" dataDxfId="149"/>
    <tableColumn id="125" name="Fatur_19" dataDxfId="148"/>
    <tableColumn id="126" name="Invest_20" dataDxfId="147"/>
    <tableColumn id="127" name="Fatur_20" dataDxfId="146"/>
    <tableColumn id="128" name="Invest_21" dataDxfId="145"/>
    <tableColumn id="129" name="Fatur_21" dataDxfId="144"/>
    <tableColumn id="130" name="Invest_23" dataDxfId="143"/>
    <tableColumn id="131" name="Fatur_23" dataDxfId="142"/>
    <tableColumn id="132" name="Invest_25" dataDxfId="141"/>
    <tableColumn id="133" name="Fatur_25" dataDxfId="140"/>
    <tableColumn id="134" name="Invest_27" dataDxfId="139"/>
    <tableColumn id="135" name="Fatur_27" dataDxfId="138"/>
    <tableColumn id="136" name="Invest_30" dataDxfId="137"/>
    <tableColumn id="137" name="Fatur_30" dataDxfId="136"/>
    <tableColumn id="45" name="Invest_31" dataDxfId="135"/>
    <tableColumn id="46" name="Fatur_31" dataDxfId="134"/>
    <tableColumn id="138" name="Invest_35" dataDxfId="133"/>
    <tableColumn id="139" name="Fatur_35" dataDxfId="132"/>
    <tableColumn id="140" name="Invest_37" dataDxfId="131"/>
    <tableColumn id="141" name="Fatur_37" dataDxfId="130"/>
    <tableColumn id="142" name="Invest_40" dataDxfId="129"/>
    <tableColumn id="143" name="Fatur_40" dataDxfId="128"/>
    <tableColumn id="144" name="Invest_42" dataDxfId="127"/>
    <tableColumn id="145" name="Fatur_42" dataDxfId="126"/>
    <tableColumn id="146" name="Invest_43" dataDxfId="125"/>
    <tableColumn id="147" name="Fatur_43" dataDxfId="124"/>
    <tableColumn id="148" name="Invest_44" dataDxfId="123"/>
    <tableColumn id="149" name="Fatur_44" dataDxfId="122"/>
    <tableColumn id="150" name="Invest_45" dataDxfId="121"/>
    <tableColumn id="151" name="Fatur_45" dataDxfId="120"/>
    <tableColumn id="152" name="Invest_46" dataDxfId="119"/>
    <tableColumn id="153" name="Fatur_46" dataDxfId="118"/>
    <tableColumn id="154" name="Invest_55" dataDxfId="117"/>
    <tableColumn id="155" name="Fatur_55" dataDxfId="116"/>
    <tableColumn id="156" name="Invest_65" dataDxfId="115"/>
    <tableColumn id="157" name="Fatur_65" dataDxfId="114"/>
    <tableColumn id="158" name="Invest_67" dataDxfId="113"/>
    <tableColumn id="159" name="Fatur_67" dataDxfId="112"/>
    <tableColumn id="160" name="Invest_70" dataDxfId="111"/>
    <tableColumn id="161" name="Fatur_70" dataDxfId="110"/>
    <tableColumn id="162" name="Invest_80" dataDxfId="109"/>
    <tableColumn id="163" name="Fatur_80" dataDxfId="108"/>
    <tableColumn id="164" name="Invest_85" dataDxfId="107"/>
    <tableColumn id="165" name="Fatur_85" dataDxfId="106"/>
    <tableColumn id="166" name="Invest_90" dataDxfId="105"/>
    <tableColumn id="167" name="Fatur_90" dataDxfId="104"/>
    <tableColumn id="168" name="Invest_99" dataDxfId="103"/>
    <tableColumn id="169" name="Fatur_99" dataDxfId="102"/>
    <tableColumn id="171" name="TOTAL_FATURAMENTO" dataDxfId="101"/>
    <tableColumn id="172" name="LOCACOES" dataDxfId="100"/>
    <tableColumn id="173" name="ADICIONAL" dataDxfId="99"/>
    <tableColumn id="174" name="BOLOCADOR" dataDxfId="98"/>
    <tableColumn id="175" name="BOLOCATARIO_TOT" dataDxfId="97"/>
    <tableColumn id="176" name="REEMBOLSOS_CONSUMIVEIS" dataDxfId="96"/>
    <tableColumn id="177" name="DESCONTO_CONTRATO" dataDxfId="95"/>
    <tableColumn id="178" name="LOCACOES_ATIVO" dataDxfId="94"/>
    <tableColumn id="179" name="ADICIONAL_ATIVO" dataDxfId="93"/>
    <tableColumn id="180" name="BOLOCADOR_ATIVO" dataDxfId="92"/>
    <tableColumn id="181" name="BOLOCATARIO_TOT_ATIVO" dataDxfId="91"/>
    <tableColumn id="182" name="REEMBOLSOS_CONSUMIVEIS_ATIVO" dataDxfId="90"/>
    <tableColumn id="183" name="DESCONTO_CONTRATO_ATIVO" dataDxfId="89"/>
    <tableColumn id="184" name="TOTAL_FATURAMENTO_ATIVO" dataDxfId="88"/>
    <tableColumn id="185" name="FATINVEST" dataDxfId="87"/>
    <tableColumn id="186" name="NUMFUNC" dataDxfId="86"/>
    <tableColumn id="187" name="FATFUNC" dataDxfId="85"/>
    <tableColumn id="188" name="FACHADA" dataDxfId="84"/>
    <tableColumn id="189" name="INDCOMERCIAL" dataDxfId="83"/>
    <tableColumn id="190" name="INDPESSOAL" dataDxfId="82"/>
    <tableColumn id="191" name="MALADIRETA" dataDxfId="81"/>
    <tableColumn id="192" name="VISITA" dataDxfId="80"/>
    <tableColumn id="193" name="RADIO" dataDxfId="79"/>
    <tableColumn id="194" name="TELEVISAO" dataDxfId="78"/>
    <tableColumn id="195" name="JORNAL" dataDxfId="77"/>
    <tableColumn id="196" name="LISTATELEFONI" dataDxfId="76"/>
    <tableColumn id="197" name="PANFLETOS" dataDxfId="75"/>
    <tableColumn id="198" name="PLACAS" dataDxfId="74"/>
    <tableColumn id="199" name="MUROS_OUTDOORS" dataDxfId="73"/>
    <tableColumn id="200" name="GOOGLE" dataDxfId="72"/>
    <tableColumn id="201" name="INTERNET" dataDxfId="71"/>
    <tableColumn id="202" name="OUTROS" dataDxfId="70"/>
    <tableColumn id="203" name="TICKETMEDIO" dataDxfId="69"/>
    <tableColumn id="204" name="FINANCIAMENTOUTENSILIO" dataDxfId="68"/>
    <tableColumn id="205" name="RE_INVESTIMENTOS_UTENSILIO" dataDxfId="67"/>
    <tableColumn id="207" name="IMPOSTOSTAXAS" dataDxfId="66"/>
    <tableColumn id="208" name="IMPOSTOSTAXAS2" dataDxfId="65"/>
    <tableColumn id="209" name="EMPRESTIMOSDEVOLUCAO" dataDxfId="64"/>
    <tableColumn id="210" name="APORTECAPITAL" dataDxfId="63"/>
    <tableColumn id="211" name="COBRANCASCANCELADAS" dataDxfId="62"/>
    <tableColumn id="212" name="DEVOLUCAO_DE_EMPRESTIMOS" dataDxfId="61"/>
    <tableColumn id="213" name="TOT_AJUSTES" dataDxfId="60"/>
    <tableColumn id="214" name="CRDV" dataDxfId="59"/>
    <tableColumn id="216" name="FATUR_TOTAL" dataDxfId="58"/>
    <tableColumn id="217" name="INVEST_TOTAL" dataDxfId="57"/>
    <tableColumn id="49" name="FINANCIAMENTOEQUIPAMENTO_TOTAL" dataDxfId="56"/>
    <tableColumn id="170" name="FINANCIAMENTOUTENSILIO_TOTAL" dataDxfId="55"/>
    <tableColumn id="206" name="DEVOLUCAO_DE_EMPRESTIMOS_TOTAL" dataDxfId="54"/>
    <tableColumn id="215" name="CONTASPAGAR_A_VENCER_TOTAL" dataDxfId="53"/>
    <tableColumn id="218" name="DEDUCOES" dataDxfId="52">
      <calculatedColumnFormula>Tabela3[[#This Row],[A8-IMPOSTOS E TAXAS]]+Tabela3[[#This Row],[E1-REEMBOLSOS]]</calculatedColumnFormula>
    </tableColumn>
    <tableColumn id="219" name="RECEBIMENTOS_MENOS_DEDUCOES" dataDxfId="51">
      <calculatedColumnFormula>Tabela3[[#This Row],[CR_RECEBIDOS]]-Tabela3[[#This Row],[DEDUCOES]]</calculatedColumnFormula>
    </tableColumn>
    <tableColumn id="220" name="CUSTOS" dataDxfId="50">
      <calculatedColumnFormula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calculatedColumnFormula>
    </tableColumn>
    <tableColumn id="221" name="RECEBIMENTOS_MENOS_CUSTOS" dataDxfId="49">
      <calculatedColumnFormula>Tabela3[[#This Row],[RECEBIMENTOS_MENOS_DEDUCOES]]-Tabela3[[#This Row],[CUSTOS]]</calculatedColumnFormula>
    </tableColumn>
    <tableColumn id="222" name="DESPESAS" dataDxfId="48">
      <calculatedColumnFormula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calculatedColumnFormula>
    </tableColumn>
    <tableColumn id="223" name="RECEBIMENTOS_MENOS_DESPESAS" dataDxfId="47">
      <calculatedColumnFormula>Tabela3[[#This Row],[RECEBIMENTOS_MENOS_CUSTOS]]-Tabela3[[#This Row],[DESPESAS]]</calculatedColumnFormula>
    </tableColumn>
    <tableColumn id="224" name="TOTAL_DAS_DESPESAS" dataDxfId="46">
      <calculatedColumnFormula>Tabela3[[#This Row],[DEDUCOES]]+Tabela3[[#This Row],[CUSTOS]]+Tabela3[[#This Row],[DESPESAS]]</calculatedColumnFormula>
    </tableColumn>
    <tableColumn id="225" name="RECEBIMENTO" dataDxfId="45">
      <calculatedColumnFormula>IFERROR(Tabela3[[#This Row],[RECEBIMENTOS_MENOS_DESPESAS]]/Tabela3[[#This Row],[CR_RECEBIDOS]],0)</calculatedColumnFormula>
    </tableColumn>
    <tableColumn id="226" name="RECEBIMENTO_0_30" dataDxfId="44">
      <calculatedColumnFormula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calculatedColumnFormula>
    </tableColumn>
    <tableColumn id="227" name="TOTAL_INADIMPLENCIA" dataDxfId="43">
      <calculatedColumnFormula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calculatedColumnFormula>
    </tableColumn>
    <tableColumn id="228" name="VARIACAO_MES_ANTERIOR" dataDxfId="42">
      <calculatedColumnFormula>SUMIFS(Tabela3[TOTAL_INADIMPLENCIA],Tabela3[ID],Tabela3[[#This Row],[ID]],Tabela3[COD_LOJA1],Tabela3[[#This Row],[COD_LOJA1]])-SUMIFS(Tabela3[TOTAL_INADIMPLENCIA],Tabela3[ID],Tabela3[[#This Row],[ID]]-1,Tabela3[COD_LOJA1],Tabela3[[#This Row],[COD_LOJA1]])</calculatedColumnFormula>
    </tableColumn>
    <tableColumn id="229" name="VARIACAO_INADIMPLENCIA" dataDxfId="41">
      <calculatedColumnFormula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calculatedColumnFormula>
    </tableColumn>
    <tableColumn id="230" name="TOTAL_RECEB_COM_VAR_MESANT" dataDxfId="40">
      <calculatedColumnFormula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calculatedColumnFormula>
    </tableColumn>
    <tableColumn id="29" name="CONTAS_PAGAR" dataDxfId="39">
      <calculatedColumnFormula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calculatedColumnFormula>
    </tableColumn>
    <tableColumn id="48" name="ID" dataDxfId="3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F196" totalsRowShown="0" headerRowDxfId="37" dataDxfId="35" headerRowBorderDxfId="36" tableBorderDxfId="34">
  <autoFilter ref="A1:F196"/>
  <sortState ref="A2:I187">
    <sortCondition ref="A1:A187"/>
  </sortState>
  <tableColumns count="6">
    <tableColumn id="1" name="COD_LOJA" dataDxfId="33"/>
    <tableColumn id="2" name="LOJA" dataDxfId="32"/>
    <tableColumn id="3" name="DATA_PRIM_FAT" dataDxfId="31"/>
    <tableColumn id="7" name="GRUPO_1" dataDxfId="30"/>
    <tableColumn id="8" name="% PROP" dataDxfId="29"/>
    <tableColumn id="9" name="GRUPO_2" dataDxfId="28">
      <calculatedColumnFormula>IF(LEFT(onde_tah(Tabela6[],Tabela2[[#This Row],[COD_LOJA]]),2) = "$Y","BRUNO","")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ela4" displayName="Tabela4" ref="I1:N37" totalsRowShown="0" headerRowDxfId="27" headerRowBorderDxfId="26" tableBorderDxfId="25" totalsRowBorderDxfId="24">
  <autoFilter ref="I1:N37"/>
  <tableColumns count="6">
    <tableColumn id="1" name="NE" dataDxfId="23"/>
    <tableColumn id="2" name="RC1" dataDxfId="22"/>
    <tableColumn id="3" name="RC2" dataDxfId="21"/>
    <tableColumn id="4" name="RC3" dataDxfId="20"/>
    <tableColumn id="5" name="RC4" dataDxfId="19"/>
    <tableColumn id="6" name="SAN" dataDxfId="18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5" name="Tabela5" displayName="Tabela5" ref="Q1:T64" totalsRowShown="0" headerRowDxfId="17" tableBorderDxfId="16">
  <autoFilter ref="Q1:T64"/>
  <tableColumns count="4">
    <tableColumn id="1" name="Propria" dataDxfId="15"/>
    <tableColumn id="2" name="Andre" dataDxfId="14"/>
    <tableColumn id="3" name="Luis" dataDxfId="13"/>
    <tableColumn id="4" name="Erica" dataDxfId="12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6" name="Tabela6" displayName="Tabela6" ref="V1:V10" totalsRowShown="0" headerRowDxfId="11" dataDxfId="9" headerRowBorderDxfId="10" tableBorderDxfId="8" totalsRowBorderDxfId="7">
  <autoFilter ref="V1:V10"/>
  <tableColumns count="1">
    <tableColumn id="1" name="BRUNO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4" Type="http://schemas.openxmlformats.org/officeDocument/2006/relationships/table" Target="../tables/table5.xml"/><Relationship Id="rId1" Type="http://schemas.openxmlformats.org/officeDocument/2006/relationships/table" Target="../tables/table2.xml"/><Relationship Id="rId2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enableFormatConditionsCalculation="0"/>
  <dimension ref="A1:HT11"/>
  <sheetViews>
    <sheetView tabSelected="1" zoomScale="85" zoomScaleNormal="85" zoomScalePageLayoutView="85" workbookViewId="0">
      <selection activeCell="C22" sqref="C22"/>
    </sheetView>
  </sheetViews>
  <sheetFormatPr baseColWidth="10" defaultColWidth="8.83203125" defaultRowHeight="12" x14ac:dyDescent="0"/>
  <cols>
    <col min="1" max="1" width="16.5" bestFit="1" customWidth="1"/>
    <col min="2" max="2" width="33.5" bestFit="1" customWidth="1"/>
    <col min="3" max="3" width="22.83203125" bestFit="1" customWidth="1"/>
    <col min="4" max="4" width="27.83203125" bestFit="1" customWidth="1"/>
    <col min="5" max="5" width="28.5" bestFit="1" customWidth="1"/>
    <col min="6" max="6" width="18.1640625" bestFit="1" customWidth="1"/>
    <col min="7" max="7" width="15.1640625" bestFit="1" customWidth="1"/>
    <col min="8" max="8" width="11.83203125" bestFit="1" customWidth="1"/>
    <col min="9" max="10" width="10.5" bestFit="1" customWidth="1"/>
    <col min="11" max="11" width="17.83203125" bestFit="1" customWidth="1"/>
    <col min="12" max="12" width="18" bestFit="1" customWidth="1"/>
    <col min="13" max="13" width="16.6640625" bestFit="1" customWidth="1"/>
    <col min="14" max="14" width="14.5" bestFit="1" customWidth="1"/>
    <col min="15" max="15" width="20.6640625" bestFit="1" customWidth="1"/>
    <col min="16" max="16" width="20.83203125" bestFit="1" customWidth="1"/>
    <col min="17" max="17" width="19.5" bestFit="1" customWidth="1"/>
    <col min="18" max="18" width="17.1640625" bestFit="1" customWidth="1"/>
    <col min="19" max="19" width="21" bestFit="1" customWidth="1"/>
    <col min="20" max="20" width="21.1640625" bestFit="1" customWidth="1"/>
    <col min="21" max="21" width="20" bestFit="1" customWidth="1"/>
    <col min="22" max="22" width="17.5" bestFit="1" customWidth="1"/>
    <col min="23" max="23" width="32.83203125" bestFit="1" customWidth="1"/>
    <col min="24" max="24" width="16.5" bestFit="1" customWidth="1"/>
    <col min="25" max="26" width="19.5" bestFit="1" customWidth="1"/>
    <col min="27" max="27" width="24.1640625" bestFit="1" customWidth="1"/>
    <col min="28" max="28" width="25.83203125" bestFit="1" customWidth="1"/>
    <col min="29" max="30" width="26.5" bestFit="1" customWidth="1"/>
    <col min="31" max="31" width="34.5" bestFit="1" customWidth="1"/>
    <col min="32" max="32" width="30" bestFit="1" customWidth="1"/>
    <col min="33" max="33" width="30.6640625" bestFit="1" customWidth="1"/>
    <col min="34" max="34" width="40.5" bestFit="1" customWidth="1"/>
    <col min="35" max="35" width="45" bestFit="1" customWidth="1"/>
    <col min="36" max="37" width="20.83203125" bestFit="1" customWidth="1"/>
    <col min="38" max="38" width="44.5" bestFit="1" customWidth="1"/>
    <col min="39" max="39" width="49.5" bestFit="1" customWidth="1"/>
    <col min="40" max="40" width="37.5" bestFit="1" customWidth="1"/>
    <col min="41" max="41" width="21.5" bestFit="1" customWidth="1"/>
    <col min="42" max="42" width="28.5" bestFit="1" customWidth="1"/>
    <col min="43" max="43" width="23.1640625" bestFit="1" customWidth="1"/>
    <col min="44" max="44" width="23.33203125" bestFit="1" customWidth="1"/>
    <col min="45" max="45" width="22" bestFit="1" customWidth="1"/>
    <col min="46" max="46" width="19.5" bestFit="1" customWidth="1"/>
    <col min="47" max="47" width="25" bestFit="1" customWidth="1"/>
    <col min="48" max="48" width="25.1640625" bestFit="1" customWidth="1"/>
    <col min="49" max="49" width="24" bestFit="1" customWidth="1"/>
    <col min="50" max="50" width="21.5" bestFit="1" customWidth="1"/>
    <col min="51" max="51" width="36" bestFit="1" customWidth="1"/>
    <col min="52" max="52" width="19.83203125" bestFit="1" customWidth="1"/>
    <col min="53" max="53" width="32.6640625" bestFit="1" customWidth="1"/>
    <col min="54" max="54" width="32.5" bestFit="1" customWidth="1"/>
    <col min="55" max="55" width="34.5" bestFit="1" customWidth="1"/>
    <col min="56" max="56" width="27" bestFit="1" customWidth="1"/>
    <col min="57" max="57" width="27.5" bestFit="1" customWidth="1"/>
    <col min="58" max="58" width="26" bestFit="1" customWidth="1"/>
    <col min="59" max="59" width="23.6640625" bestFit="1" customWidth="1"/>
    <col min="60" max="60" width="32.33203125" bestFit="1" customWidth="1"/>
    <col min="61" max="61" width="32.5" bestFit="1" customWidth="1"/>
    <col min="62" max="62" width="31" bestFit="1" customWidth="1"/>
    <col min="63" max="63" width="28.6640625" bestFit="1" customWidth="1"/>
    <col min="64" max="64" width="33.33203125" bestFit="1" customWidth="1"/>
    <col min="65" max="65" width="33.5" bestFit="1" customWidth="1"/>
    <col min="66" max="66" width="32.33203125" bestFit="1" customWidth="1"/>
    <col min="67" max="67" width="29.6640625" bestFit="1" customWidth="1"/>
    <col min="68" max="68" width="16.6640625" bestFit="1" customWidth="1"/>
    <col min="69" max="69" width="19" bestFit="1" customWidth="1"/>
    <col min="70" max="70" width="36.1640625" bestFit="1" customWidth="1"/>
    <col min="71" max="71" width="19" bestFit="1" customWidth="1"/>
    <col min="72" max="72" width="36.1640625" bestFit="1" customWidth="1"/>
    <col min="73" max="73" width="17.5" bestFit="1" customWidth="1"/>
    <col min="74" max="74" width="24" bestFit="1" customWidth="1"/>
    <col min="75" max="75" width="35.33203125" bestFit="1" customWidth="1"/>
    <col min="76" max="76" width="28.5" bestFit="1" customWidth="1"/>
    <col min="77" max="77" width="38.5" bestFit="1" customWidth="1"/>
    <col min="78" max="78" width="32.1640625" bestFit="1" customWidth="1"/>
    <col min="79" max="79" width="24.83203125" bestFit="1" customWidth="1"/>
    <col min="80" max="80" width="31.5" bestFit="1" customWidth="1"/>
    <col min="81" max="81" width="44.33203125" bestFit="1" customWidth="1"/>
    <col min="82" max="82" width="22.33203125" bestFit="1" customWidth="1"/>
    <col min="83" max="83" width="25.33203125" bestFit="1" customWidth="1"/>
    <col min="84" max="84" width="29.6640625" bestFit="1" customWidth="1"/>
    <col min="85" max="85" width="31.33203125" bestFit="1" customWidth="1"/>
    <col min="86" max="86" width="25.5" bestFit="1" customWidth="1"/>
    <col min="87" max="87" width="42.5" bestFit="1" customWidth="1"/>
    <col min="88" max="88" width="26.83203125" bestFit="1" customWidth="1"/>
    <col min="89" max="89" width="26.6640625" bestFit="1" customWidth="1"/>
    <col min="90" max="90" width="37" bestFit="1" customWidth="1"/>
    <col min="91" max="91" width="25.6640625" bestFit="1" customWidth="1"/>
    <col min="92" max="92" width="27" bestFit="1" customWidth="1"/>
    <col min="93" max="93" width="22" bestFit="1" customWidth="1"/>
    <col min="94" max="94" width="36" bestFit="1" customWidth="1"/>
    <col min="95" max="95" width="23.33203125" bestFit="1" customWidth="1"/>
    <col min="96" max="96" width="37.1640625" bestFit="1" customWidth="1"/>
    <col min="97" max="97" width="18.1640625" bestFit="1" customWidth="1"/>
    <col min="98" max="98" width="32.1640625" bestFit="1" customWidth="1"/>
    <col min="99" max="99" width="14.6640625" bestFit="1" customWidth="1"/>
    <col min="100" max="100" width="14.1640625" bestFit="1" customWidth="1"/>
    <col min="101" max="101" width="15.1640625" bestFit="1" customWidth="1"/>
    <col min="102" max="102" width="14.5" bestFit="1" customWidth="1"/>
    <col min="103" max="103" width="15.1640625" bestFit="1" customWidth="1"/>
    <col min="104" max="104" width="14.5" bestFit="1" customWidth="1"/>
    <col min="105" max="105" width="15.1640625" bestFit="1" customWidth="1"/>
    <col min="106" max="106" width="14.5" bestFit="1" customWidth="1"/>
    <col min="107" max="107" width="15.1640625" bestFit="1" customWidth="1"/>
    <col min="108" max="108" width="14.5" bestFit="1" customWidth="1"/>
    <col min="109" max="109" width="14.6640625" bestFit="1" customWidth="1"/>
    <col min="110" max="110" width="14.1640625" bestFit="1" customWidth="1"/>
    <col min="111" max="111" width="14.6640625" bestFit="1" customWidth="1"/>
    <col min="112" max="112" width="14.1640625" bestFit="1" customWidth="1"/>
    <col min="113" max="113" width="14.6640625" bestFit="1" customWidth="1"/>
    <col min="114" max="114" width="14.1640625" bestFit="1" customWidth="1"/>
    <col min="115" max="115" width="14.6640625" bestFit="1" customWidth="1"/>
    <col min="116" max="116" width="14.1640625" bestFit="1" customWidth="1"/>
    <col min="117" max="117" width="14.6640625" bestFit="1" customWidth="1"/>
    <col min="118" max="118" width="14.1640625" bestFit="1" customWidth="1"/>
    <col min="119" max="119" width="15.1640625" bestFit="1" customWidth="1"/>
    <col min="120" max="120" width="14.5" bestFit="1" customWidth="1"/>
    <col min="121" max="121" width="14.6640625" bestFit="1" customWidth="1"/>
    <col min="122" max="122" width="14.1640625" bestFit="1" customWidth="1"/>
    <col min="123" max="123" width="15.1640625" bestFit="1" customWidth="1"/>
    <col min="124" max="124" width="14.5" bestFit="1" customWidth="1"/>
    <col min="125" max="125" width="15.1640625" bestFit="1" customWidth="1"/>
    <col min="126" max="126" width="14.5" bestFit="1" customWidth="1"/>
    <col min="127" max="127" width="15.1640625" bestFit="1" customWidth="1"/>
    <col min="128" max="128" width="14.5" bestFit="1" customWidth="1"/>
    <col min="129" max="129" width="15.1640625" bestFit="1" customWidth="1"/>
    <col min="130" max="130" width="14.5" bestFit="1" customWidth="1"/>
    <col min="131" max="131" width="14.6640625" bestFit="1" customWidth="1"/>
    <col min="132" max="132" width="14.1640625" bestFit="1" customWidth="1"/>
    <col min="133" max="133" width="15.1640625" bestFit="1" customWidth="1"/>
    <col min="134" max="134" width="14.5" bestFit="1" customWidth="1"/>
    <col min="135" max="135" width="15.1640625" bestFit="1" customWidth="1"/>
    <col min="136" max="136" width="14.5" bestFit="1" customWidth="1"/>
    <col min="137" max="137" width="15.1640625" bestFit="1" customWidth="1"/>
    <col min="138" max="138" width="14.5" bestFit="1" customWidth="1"/>
    <col min="139" max="139" width="15.1640625" bestFit="1" customWidth="1"/>
    <col min="140" max="140" width="14.5" bestFit="1" customWidth="1"/>
    <col min="141" max="141" width="15.1640625" bestFit="1" customWidth="1"/>
    <col min="142" max="142" width="14.5" bestFit="1" customWidth="1"/>
    <col min="143" max="143" width="15.1640625" bestFit="1" customWidth="1"/>
    <col min="144" max="144" width="14.5" bestFit="1" customWidth="1"/>
    <col min="145" max="145" width="15.1640625" bestFit="1" customWidth="1"/>
    <col min="146" max="146" width="14.5" bestFit="1" customWidth="1"/>
    <col min="147" max="147" width="15.1640625" bestFit="1" customWidth="1"/>
    <col min="148" max="148" width="14.5" bestFit="1" customWidth="1"/>
    <col min="149" max="149" width="15.1640625" bestFit="1" customWidth="1"/>
    <col min="150" max="150" width="14.5" bestFit="1" customWidth="1"/>
    <col min="151" max="151" width="15.1640625" bestFit="1" customWidth="1"/>
    <col min="152" max="152" width="14.5" bestFit="1" customWidth="1"/>
    <col min="153" max="153" width="15.1640625" bestFit="1" customWidth="1"/>
    <col min="154" max="154" width="14.5" bestFit="1" customWidth="1"/>
    <col min="155" max="155" width="15.1640625" bestFit="1" customWidth="1"/>
    <col min="156" max="156" width="14.5" bestFit="1" customWidth="1"/>
    <col min="157" max="157" width="15.1640625" bestFit="1" customWidth="1"/>
    <col min="158" max="158" width="14.5" bestFit="1" customWidth="1"/>
    <col min="159" max="159" width="15.1640625" bestFit="1" customWidth="1"/>
    <col min="160" max="160" width="14.5" bestFit="1" customWidth="1"/>
    <col min="161" max="161" width="15.1640625" bestFit="1" customWidth="1"/>
    <col min="162" max="162" width="14.5" bestFit="1" customWidth="1"/>
    <col min="163" max="163" width="15.1640625" bestFit="1" customWidth="1"/>
    <col min="164" max="164" width="14.5" bestFit="1" customWidth="1"/>
    <col min="165" max="165" width="28.6640625" bestFit="1" customWidth="1"/>
    <col min="166" max="167" width="17" bestFit="1" customWidth="1"/>
    <col min="168" max="168" width="18.5" bestFit="1" customWidth="1"/>
    <col min="169" max="169" width="25.33203125" bestFit="1" customWidth="1"/>
    <col min="170" max="170" width="33.83203125" bestFit="1" customWidth="1"/>
    <col min="171" max="171" width="29" bestFit="1" customWidth="1"/>
    <col min="172" max="173" width="23.83203125" bestFit="1" customWidth="1"/>
    <col min="174" max="174" width="25.5" bestFit="1" customWidth="1"/>
    <col min="175" max="175" width="32.33203125" bestFit="1" customWidth="1"/>
    <col min="176" max="176" width="40.83203125" bestFit="1" customWidth="1"/>
    <col min="177" max="177" width="36" bestFit="1" customWidth="1"/>
    <col min="178" max="178" width="35.5" bestFit="1" customWidth="1"/>
    <col min="179" max="179" width="17.1640625" bestFit="1" customWidth="1"/>
    <col min="180" max="180" width="16.1640625" bestFit="1" customWidth="1"/>
    <col min="181" max="181" width="15.5" bestFit="1" customWidth="1"/>
    <col min="182" max="182" width="16.1640625" bestFit="1" customWidth="1"/>
    <col min="183" max="183" width="21.33203125" bestFit="1" customWidth="1"/>
    <col min="184" max="184" width="18.5" bestFit="1" customWidth="1"/>
    <col min="185" max="185" width="19.33203125" bestFit="1" customWidth="1"/>
    <col min="186" max="187" width="12.6640625" bestFit="1" customWidth="1"/>
    <col min="188" max="188" width="17" bestFit="1" customWidth="1"/>
    <col min="189" max="189" width="14.33203125" bestFit="1" customWidth="1"/>
    <col min="190" max="190" width="21.1640625" bestFit="1" customWidth="1"/>
    <col min="191" max="191" width="18" bestFit="1" customWidth="1"/>
    <col min="192" max="192" width="14.5" bestFit="1" customWidth="1"/>
    <col min="193" max="193" width="25.1640625" bestFit="1" customWidth="1"/>
    <col min="194" max="194" width="14.5" bestFit="1" customWidth="1"/>
    <col min="195" max="195" width="16.1640625" bestFit="1" customWidth="1"/>
    <col min="196" max="196" width="14.5" bestFit="1" customWidth="1"/>
    <col min="197" max="197" width="19.5" bestFit="1" customWidth="1"/>
    <col min="198" max="198" width="32.5" bestFit="1" customWidth="1"/>
    <col min="199" max="199" width="36.5" bestFit="1" customWidth="1"/>
    <col min="200" max="200" width="23.1640625" bestFit="1" customWidth="1"/>
    <col min="201" max="201" width="24.1640625" bestFit="1" customWidth="1"/>
    <col min="202" max="202" width="32.5" bestFit="1" customWidth="1"/>
    <col min="203" max="203" width="22.83203125" bestFit="1" customWidth="1"/>
    <col min="204" max="204" width="32.33203125" bestFit="1" customWidth="1"/>
    <col min="205" max="205" width="37.33203125" bestFit="1" customWidth="1"/>
    <col min="206" max="206" width="20" bestFit="1" customWidth="1"/>
    <col min="207" max="207" width="12.1640625" bestFit="1" customWidth="1"/>
    <col min="208" max="208" width="20.33203125" bestFit="1" customWidth="1"/>
    <col min="209" max="209" width="20.6640625" bestFit="1" customWidth="1"/>
    <col min="210" max="210" width="44.33203125" bestFit="1" customWidth="1"/>
    <col min="211" max="211" width="36.5" bestFit="1" customWidth="1"/>
    <col min="212" max="212" width="41.1640625" bestFit="1" customWidth="1"/>
    <col min="213" max="213" width="36.33203125" bestFit="1" customWidth="1"/>
    <col min="214" max="214" width="17" bestFit="1" customWidth="1"/>
    <col min="215" max="215" width="41.5" bestFit="1" customWidth="1"/>
    <col min="216" max="216" width="14.33203125" bestFit="1" customWidth="1"/>
    <col min="217" max="217" width="38.5" bestFit="1" customWidth="1"/>
    <col min="218" max="218" width="16.6640625" bestFit="1" customWidth="1"/>
    <col min="219" max="219" width="41.33203125" bestFit="1" customWidth="1"/>
    <col min="220" max="220" width="29.33203125" bestFit="1" customWidth="1"/>
    <col min="221" max="221" width="20.6640625" bestFit="1" customWidth="1"/>
    <col min="222" max="222" width="25.83203125" bestFit="1" customWidth="1"/>
    <col min="223" max="223" width="29.33203125" bestFit="1" customWidth="1"/>
    <col min="224" max="224" width="32.83203125" bestFit="1" customWidth="1"/>
    <col min="225" max="225" width="33.1640625" bestFit="1" customWidth="1"/>
    <col min="226" max="226" width="40.5" bestFit="1" customWidth="1"/>
    <col min="227" max="227" width="22.5" bestFit="1" customWidth="1"/>
  </cols>
  <sheetData>
    <row r="1" spans="1:228" ht="15">
      <c r="A1" s="49">
        <v>1</v>
      </c>
      <c r="B1" s="49">
        <v>2</v>
      </c>
      <c r="C1" s="49">
        <v>3</v>
      </c>
      <c r="D1" s="49">
        <v>4</v>
      </c>
      <c r="E1" s="49">
        <v>5</v>
      </c>
      <c r="F1" s="49">
        <v>6</v>
      </c>
      <c r="G1" s="49">
        <v>7</v>
      </c>
      <c r="H1" s="49">
        <v>10</v>
      </c>
      <c r="I1" s="49">
        <v>11</v>
      </c>
      <c r="J1" s="49">
        <v>12</v>
      </c>
      <c r="K1" s="49" t="s">
        <v>225</v>
      </c>
      <c r="L1" s="49" t="s">
        <v>225</v>
      </c>
      <c r="M1" s="49" t="s">
        <v>225</v>
      </c>
      <c r="N1" s="49" t="s">
        <v>225</v>
      </c>
      <c r="O1" s="49" t="s">
        <v>225</v>
      </c>
      <c r="P1" s="49" t="s">
        <v>225</v>
      </c>
      <c r="Q1" s="49" t="s">
        <v>225</v>
      </c>
      <c r="R1" s="49" t="s">
        <v>225</v>
      </c>
      <c r="S1" s="49" t="s">
        <v>225</v>
      </c>
      <c r="T1" s="49" t="s">
        <v>225</v>
      </c>
      <c r="U1" s="49" t="s">
        <v>225</v>
      </c>
      <c r="V1" s="49" t="s">
        <v>225</v>
      </c>
      <c r="W1" s="49" t="s">
        <v>221</v>
      </c>
      <c r="X1" s="49" t="s">
        <v>221</v>
      </c>
      <c r="Y1" s="49" t="s">
        <v>221</v>
      </c>
      <c r="Z1" s="49" t="s">
        <v>221</v>
      </c>
      <c r="AA1" s="49" t="s">
        <v>221</v>
      </c>
      <c r="AB1" s="49" t="s">
        <v>219</v>
      </c>
      <c r="AC1" s="49" t="s">
        <v>219</v>
      </c>
      <c r="AD1" s="49" t="s">
        <v>219</v>
      </c>
      <c r="AE1" s="49" t="s">
        <v>219</v>
      </c>
      <c r="AF1" s="49" t="s">
        <v>219</v>
      </c>
      <c r="AG1" s="49" t="s">
        <v>219</v>
      </c>
      <c r="AH1" s="49" t="s">
        <v>219</v>
      </c>
      <c r="AI1" s="49" t="s">
        <v>219</v>
      </c>
      <c r="AJ1" s="49" t="s">
        <v>219</v>
      </c>
      <c r="AK1" s="49" t="s">
        <v>219</v>
      </c>
      <c r="AL1" s="49" t="s">
        <v>219</v>
      </c>
      <c r="AM1" s="49" t="s">
        <v>219</v>
      </c>
      <c r="AN1" s="49" t="s">
        <v>219</v>
      </c>
      <c r="AO1" s="49" t="s">
        <v>219</v>
      </c>
      <c r="AP1" s="49" t="s">
        <v>219</v>
      </c>
      <c r="AQ1" s="49" t="s">
        <v>219</v>
      </c>
      <c r="AR1" s="49" t="s">
        <v>219</v>
      </c>
      <c r="AS1" s="49" t="s">
        <v>219</v>
      </c>
      <c r="AT1" s="49" t="s">
        <v>219</v>
      </c>
      <c r="AU1" s="49" t="s">
        <v>219</v>
      </c>
      <c r="AV1" s="49" t="s">
        <v>219</v>
      </c>
      <c r="AW1" s="49" t="s">
        <v>219</v>
      </c>
      <c r="AX1" s="49" t="s">
        <v>219</v>
      </c>
      <c r="AY1" s="49" t="s">
        <v>222</v>
      </c>
      <c r="AZ1" s="49" t="s">
        <v>222</v>
      </c>
      <c r="BA1" s="49" t="s">
        <v>222</v>
      </c>
      <c r="BB1" s="49" t="s">
        <v>222</v>
      </c>
      <c r="BC1" s="49" t="s">
        <v>222</v>
      </c>
      <c r="BD1" s="49" t="s">
        <v>222</v>
      </c>
      <c r="BE1" s="49" t="s">
        <v>222</v>
      </c>
      <c r="BF1" s="49" t="s">
        <v>222</v>
      </c>
      <c r="BG1" s="49" t="s">
        <v>222</v>
      </c>
      <c r="BH1" s="49" t="s">
        <v>222</v>
      </c>
      <c r="BI1" s="49" t="s">
        <v>222</v>
      </c>
      <c r="BJ1" s="49" t="s">
        <v>222</v>
      </c>
      <c r="BK1" s="49" t="s">
        <v>222</v>
      </c>
      <c r="BL1" s="49" t="s">
        <v>222</v>
      </c>
      <c r="BM1" s="49" t="s">
        <v>222</v>
      </c>
      <c r="BN1" s="49" t="s">
        <v>222</v>
      </c>
      <c r="BO1" s="49" t="s">
        <v>222</v>
      </c>
      <c r="BP1" s="49" t="s">
        <v>222</v>
      </c>
      <c r="BQ1" s="49" t="s">
        <v>230</v>
      </c>
      <c r="BR1" s="49" t="s">
        <v>230</v>
      </c>
      <c r="BS1" s="49" t="s">
        <v>230</v>
      </c>
      <c r="BT1" s="49" t="s">
        <v>230</v>
      </c>
      <c r="BU1" s="49" t="s">
        <v>230</v>
      </c>
      <c r="BV1" s="49" t="s">
        <v>230</v>
      </c>
      <c r="BW1" s="49" t="s">
        <v>230</v>
      </c>
      <c r="BX1" s="49" t="s">
        <v>230</v>
      </c>
      <c r="BY1" s="49" t="s">
        <v>230</v>
      </c>
      <c r="BZ1" s="49" t="s">
        <v>230</v>
      </c>
      <c r="CA1" s="49" t="s">
        <v>230</v>
      </c>
      <c r="CB1" s="49" t="s">
        <v>230</v>
      </c>
      <c r="CC1" s="49" t="s">
        <v>230</v>
      </c>
      <c r="CD1" s="49" t="s">
        <v>230</v>
      </c>
      <c r="CE1" s="49" t="s">
        <v>230</v>
      </c>
      <c r="CF1" s="49" t="s">
        <v>230</v>
      </c>
      <c r="CG1" s="49" t="s">
        <v>230</v>
      </c>
      <c r="CH1" s="49" t="s">
        <v>230</v>
      </c>
      <c r="CI1" s="49" t="s">
        <v>230</v>
      </c>
      <c r="CJ1" s="49" t="s">
        <v>230</v>
      </c>
      <c r="CK1" s="49" t="s">
        <v>224</v>
      </c>
      <c r="CL1" s="49" t="s">
        <v>227</v>
      </c>
      <c r="CM1" s="49" t="s">
        <v>227</v>
      </c>
      <c r="CN1" s="49" t="s">
        <v>227</v>
      </c>
      <c r="CO1" s="49" t="s">
        <v>227</v>
      </c>
      <c r="CP1" s="49" t="s">
        <v>227</v>
      </c>
      <c r="CQ1" s="49" t="s">
        <v>227</v>
      </c>
      <c r="CR1" s="49" t="s">
        <v>227</v>
      </c>
      <c r="CS1" s="49" t="s">
        <v>227</v>
      </c>
      <c r="CT1" s="49" t="s">
        <v>227</v>
      </c>
      <c r="CU1" s="49" t="s">
        <v>227</v>
      </c>
      <c r="CV1" s="49" t="s">
        <v>227</v>
      </c>
      <c r="CW1" s="49" t="s">
        <v>227</v>
      </c>
      <c r="CX1" s="49" t="s">
        <v>227</v>
      </c>
      <c r="CY1" s="49" t="s">
        <v>227</v>
      </c>
      <c r="CZ1" s="49" t="s">
        <v>227</v>
      </c>
      <c r="DA1" s="49" t="s">
        <v>227</v>
      </c>
      <c r="DB1" s="49" t="s">
        <v>227</v>
      </c>
      <c r="DC1" s="49" t="s">
        <v>227</v>
      </c>
      <c r="DD1" s="49" t="s">
        <v>227</v>
      </c>
      <c r="DE1" s="49" t="s">
        <v>227</v>
      </c>
      <c r="DF1" s="49" t="s">
        <v>227</v>
      </c>
      <c r="DG1" s="49" t="s">
        <v>227</v>
      </c>
      <c r="DH1" s="49" t="s">
        <v>227</v>
      </c>
      <c r="DI1" s="49" t="s">
        <v>227</v>
      </c>
      <c r="DJ1" s="49" t="s">
        <v>227</v>
      </c>
      <c r="DK1" s="49" t="s">
        <v>227</v>
      </c>
      <c r="DL1" s="49" t="s">
        <v>227</v>
      </c>
      <c r="DM1" s="49" t="s">
        <v>227</v>
      </c>
      <c r="DN1" s="49" t="s">
        <v>227</v>
      </c>
      <c r="DO1" s="49" t="s">
        <v>227</v>
      </c>
      <c r="DP1" s="49" t="s">
        <v>227</v>
      </c>
      <c r="DQ1" s="49" t="s">
        <v>227</v>
      </c>
      <c r="DR1" s="49" t="s">
        <v>227</v>
      </c>
      <c r="DS1" s="49" t="s">
        <v>227</v>
      </c>
      <c r="DT1" s="49" t="s">
        <v>227</v>
      </c>
      <c r="DU1" s="49" t="s">
        <v>227</v>
      </c>
      <c r="DV1" s="49" t="s">
        <v>227</v>
      </c>
      <c r="DW1" s="49" t="s">
        <v>227</v>
      </c>
      <c r="DX1" s="49" t="s">
        <v>227</v>
      </c>
      <c r="DY1" s="49" t="s">
        <v>227</v>
      </c>
      <c r="DZ1" s="49" t="s">
        <v>227</v>
      </c>
      <c r="EA1" s="49" t="s">
        <v>227</v>
      </c>
      <c r="EB1" s="49" t="s">
        <v>227</v>
      </c>
      <c r="EC1" s="49" t="s">
        <v>227</v>
      </c>
      <c r="ED1" s="49" t="s">
        <v>227</v>
      </c>
      <c r="EE1" s="49" t="s">
        <v>227</v>
      </c>
      <c r="EF1" s="49" t="s">
        <v>227</v>
      </c>
      <c r="EG1" s="49" t="s">
        <v>227</v>
      </c>
      <c r="EH1" s="49" t="s">
        <v>227</v>
      </c>
      <c r="EI1" s="49" t="s">
        <v>227</v>
      </c>
      <c r="EJ1" s="49" t="s">
        <v>227</v>
      </c>
      <c r="EK1" s="49" t="s">
        <v>227</v>
      </c>
      <c r="EL1" s="49" t="s">
        <v>227</v>
      </c>
      <c r="EM1" s="49" t="s">
        <v>227</v>
      </c>
      <c r="EN1" s="49" t="s">
        <v>227</v>
      </c>
      <c r="EO1" s="49" t="s">
        <v>227</v>
      </c>
      <c r="EP1" s="49" t="s">
        <v>227</v>
      </c>
      <c r="EQ1" s="49" t="s">
        <v>227</v>
      </c>
      <c r="ER1" s="49" t="s">
        <v>227</v>
      </c>
      <c r="ES1" s="49" t="s">
        <v>227</v>
      </c>
      <c r="ET1" s="49" t="s">
        <v>227</v>
      </c>
      <c r="EU1" s="49" t="s">
        <v>227</v>
      </c>
      <c r="EV1" s="49" t="s">
        <v>227</v>
      </c>
      <c r="EW1" s="49" t="s">
        <v>227</v>
      </c>
      <c r="EX1" s="49" t="s">
        <v>227</v>
      </c>
      <c r="EY1" s="49" t="s">
        <v>227</v>
      </c>
      <c r="EZ1" s="49" t="s">
        <v>227</v>
      </c>
      <c r="FA1" s="49" t="s">
        <v>227</v>
      </c>
      <c r="FB1" s="49" t="s">
        <v>227</v>
      </c>
      <c r="FC1" s="49" t="s">
        <v>227</v>
      </c>
      <c r="FD1" s="49" t="s">
        <v>227</v>
      </c>
      <c r="FE1" s="49" t="s">
        <v>227</v>
      </c>
      <c r="FF1" s="49" t="s">
        <v>227</v>
      </c>
      <c r="FG1" s="49" t="s">
        <v>227</v>
      </c>
      <c r="FH1" s="49" t="s">
        <v>227</v>
      </c>
      <c r="FI1" s="50" t="s">
        <v>223</v>
      </c>
      <c r="FJ1" s="50" t="s">
        <v>223</v>
      </c>
      <c r="FK1" s="50" t="s">
        <v>223</v>
      </c>
      <c r="FL1" s="50" t="s">
        <v>223</v>
      </c>
      <c r="FM1" s="50" t="s">
        <v>223</v>
      </c>
      <c r="FN1" s="50" t="s">
        <v>223</v>
      </c>
      <c r="FO1" s="50" t="s">
        <v>223</v>
      </c>
      <c r="FP1" s="50" t="s">
        <v>223</v>
      </c>
      <c r="FQ1" s="50" t="s">
        <v>223</v>
      </c>
      <c r="FR1" s="50" t="s">
        <v>223</v>
      </c>
      <c r="FS1" s="50" t="s">
        <v>223</v>
      </c>
      <c r="FT1" s="50" t="s">
        <v>223</v>
      </c>
      <c r="FU1" s="50" t="s">
        <v>223</v>
      </c>
      <c r="FV1" s="50" t="s">
        <v>223</v>
      </c>
      <c r="FW1" s="50" t="s">
        <v>223</v>
      </c>
      <c r="FX1" s="49" t="s">
        <v>226</v>
      </c>
      <c r="FY1" s="49" t="s">
        <v>226</v>
      </c>
      <c r="FZ1" s="49" t="s">
        <v>229</v>
      </c>
      <c r="GA1" s="49" t="s">
        <v>229</v>
      </c>
      <c r="GB1" s="49" t="s">
        <v>229</v>
      </c>
      <c r="GC1" s="49" t="s">
        <v>229</v>
      </c>
      <c r="GD1" s="49" t="s">
        <v>229</v>
      </c>
      <c r="GE1" s="49" t="s">
        <v>229</v>
      </c>
      <c r="GF1" s="49" t="s">
        <v>229</v>
      </c>
      <c r="GG1" s="49" t="s">
        <v>229</v>
      </c>
      <c r="GH1" s="49" t="s">
        <v>229</v>
      </c>
      <c r="GI1" s="49" t="s">
        <v>229</v>
      </c>
      <c r="GJ1" s="49" t="s">
        <v>229</v>
      </c>
      <c r="GK1" s="49" t="s">
        <v>229</v>
      </c>
      <c r="GL1" s="49" t="s">
        <v>229</v>
      </c>
      <c r="GM1" s="49" t="s">
        <v>229</v>
      </c>
      <c r="GN1" s="49" t="s">
        <v>229</v>
      </c>
      <c r="GO1" s="49" t="s">
        <v>228</v>
      </c>
      <c r="GP1" s="49" t="s">
        <v>220</v>
      </c>
      <c r="GQ1" s="49" t="s">
        <v>220</v>
      </c>
      <c r="GR1" s="49">
        <v>0</v>
      </c>
      <c r="GS1" s="49">
        <v>0</v>
      </c>
      <c r="GT1" s="49">
        <v>0</v>
      </c>
      <c r="GU1" s="49">
        <v>0</v>
      </c>
      <c r="GV1" s="49">
        <v>0</v>
      </c>
      <c r="GW1" s="49">
        <v>0</v>
      </c>
      <c r="GX1" s="49">
        <v>0</v>
      </c>
      <c r="GY1" s="49">
        <v>0</v>
      </c>
      <c r="GZ1" s="49">
        <v>0</v>
      </c>
      <c r="HA1" s="49">
        <v>0</v>
      </c>
      <c r="HB1" s="49">
        <v>0</v>
      </c>
      <c r="HC1" s="49">
        <v>0</v>
      </c>
      <c r="HD1" s="49">
        <v>0</v>
      </c>
      <c r="HE1" s="49" t="s">
        <v>444</v>
      </c>
      <c r="HF1" s="49">
        <v>0</v>
      </c>
      <c r="HG1" s="49">
        <v>0</v>
      </c>
      <c r="HH1" s="49">
        <v>0</v>
      </c>
      <c r="HI1" s="49">
        <v>0</v>
      </c>
      <c r="HJ1" s="49">
        <v>0</v>
      </c>
      <c r="HK1" s="49">
        <v>0</v>
      </c>
      <c r="HL1" s="49">
        <v>0</v>
      </c>
      <c r="HM1" s="49">
        <v>0</v>
      </c>
      <c r="HN1" s="49" t="s">
        <v>219</v>
      </c>
      <c r="HO1" s="49" t="s">
        <v>219</v>
      </c>
      <c r="HP1" s="49" t="s">
        <v>219</v>
      </c>
      <c r="HQ1" s="49" t="s">
        <v>219</v>
      </c>
      <c r="HR1" s="49" t="s">
        <v>219</v>
      </c>
      <c r="HS1" s="49" t="s">
        <v>219</v>
      </c>
      <c r="HT1" s="2"/>
    </row>
    <row r="2" spans="1:228" s="12" customFormat="1">
      <c r="A2" s="9" t="s">
        <v>439</v>
      </c>
      <c r="B2" s="9" t="s">
        <v>212</v>
      </c>
      <c r="C2" s="10" t="s">
        <v>231</v>
      </c>
      <c r="D2" s="11" t="s">
        <v>232</v>
      </c>
      <c r="E2" s="11" t="s">
        <v>217</v>
      </c>
      <c r="F2" s="9" t="s">
        <v>213</v>
      </c>
      <c r="G2" s="11" t="s">
        <v>442</v>
      </c>
      <c r="H2" s="11" t="s">
        <v>0</v>
      </c>
      <c r="I2" s="11" t="s">
        <v>1</v>
      </c>
      <c r="J2" s="11" t="s">
        <v>30</v>
      </c>
      <c r="K2" s="11" t="s">
        <v>31</v>
      </c>
      <c r="L2" s="11" t="s">
        <v>32</v>
      </c>
      <c r="M2" s="11" t="s">
        <v>33</v>
      </c>
      <c r="N2" s="11" t="s">
        <v>34</v>
      </c>
      <c r="O2" s="11" t="s">
        <v>35</v>
      </c>
      <c r="P2" s="11" t="s">
        <v>36</v>
      </c>
      <c r="Q2" s="11" t="s">
        <v>37</v>
      </c>
      <c r="R2" s="11" t="s">
        <v>38</v>
      </c>
      <c r="S2" s="11" t="s">
        <v>39</v>
      </c>
      <c r="T2" s="11" t="s">
        <v>40</v>
      </c>
      <c r="U2" s="11" t="s">
        <v>41</v>
      </c>
      <c r="V2" s="11" t="s">
        <v>149</v>
      </c>
      <c r="W2" s="11" t="s">
        <v>148</v>
      </c>
      <c r="X2" s="11" t="s">
        <v>147</v>
      </c>
      <c r="Y2" s="11" t="s">
        <v>146</v>
      </c>
      <c r="Z2" s="11" t="s">
        <v>145</v>
      </c>
      <c r="AA2" s="51" t="s">
        <v>167</v>
      </c>
      <c r="AB2" s="51" t="s">
        <v>166</v>
      </c>
      <c r="AC2" s="51" t="s">
        <v>165</v>
      </c>
      <c r="AD2" s="51" t="s">
        <v>164</v>
      </c>
      <c r="AE2" s="51" t="s">
        <v>163</v>
      </c>
      <c r="AF2" s="51" t="s">
        <v>162</v>
      </c>
      <c r="AG2" s="51" t="s">
        <v>172</v>
      </c>
      <c r="AH2" s="51" t="s">
        <v>171</v>
      </c>
      <c r="AI2" s="51" t="s">
        <v>170</v>
      </c>
      <c r="AJ2" s="51" t="s">
        <v>169</v>
      </c>
      <c r="AK2" s="51" t="s">
        <v>168</v>
      </c>
      <c r="AL2" s="51" t="s">
        <v>218</v>
      </c>
      <c r="AM2" s="51" t="s">
        <v>155</v>
      </c>
      <c r="AN2" s="51" t="s">
        <v>154</v>
      </c>
      <c r="AO2" s="51" t="s">
        <v>153</v>
      </c>
      <c r="AP2" s="51" t="s">
        <v>22</v>
      </c>
      <c r="AQ2" s="51" t="s">
        <v>23</v>
      </c>
      <c r="AR2" s="51" t="s">
        <v>24</v>
      </c>
      <c r="AS2" s="51" t="s">
        <v>25</v>
      </c>
      <c r="AT2" s="51" t="s">
        <v>26</v>
      </c>
      <c r="AU2" s="51" t="s">
        <v>27</v>
      </c>
      <c r="AV2" s="51" t="s">
        <v>28</v>
      </c>
      <c r="AW2" s="51" t="s">
        <v>29</v>
      </c>
      <c r="AX2" s="11" t="s">
        <v>186</v>
      </c>
      <c r="AY2" s="11" t="s">
        <v>157</v>
      </c>
      <c r="AZ2" s="11" t="s">
        <v>175</v>
      </c>
      <c r="BA2" s="11" t="s">
        <v>178</v>
      </c>
      <c r="BB2" s="11" t="s">
        <v>179</v>
      </c>
      <c r="BC2" s="11" t="s">
        <v>8</v>
      </c>
      <c r="BD2" s="11" t="s">
        <v>9</v>
      </c>
      <c r="BE2" s="11" t="s">
        <v>10</v>
      </c>
      <c r="BF2" s="11" t="s">
        <v>11</v>
      </c>
      <c r="BG2" s="11" t="s">
        <v>12</v>
      </c>
      <c r="BH2" s="11" t="s">
        <v>13</v>
      </c>
      <c r="BI2" s="11" t="s">
        <v>14</v>
      </c>
      <c r="BJ2" s="11" t="s">
        <v>15</v>
      </c>
      <c r="BK2" s="11" t="s">
        <v>16</v>
      </c>
      <c r="BL2" s="11" t="s">
        <v>17</v>
      </c>
      <c r="BM2" s="11" t="s">
        <v>18</v>
      </c>
      <c r="BN2" s="11" t="s">
        <v>19</v>
      </c>
      <c r="BO2" s="11" t="s">
        <v>50</v>
      </c>
      <c r="BP2" s="52" t="s">
        <v>69</v>
      </c>
      <c r="BQ2" s="52" t="s">
        <v>70</v>
      </c>
      <c r="BR2" s="52" t="s">
        <v>71</v>
      </c>
      <c r="BS2" s="52" t="s">
        <v>72</v>
      </c>
      <c r="BT2" s="52" t="s">
        <v>73</v>
      </c>
      <c r="BU2" s="52" t="s">
        <v>74</v>
      </c>
      <c r="BV2" s="52" t="s">
        <v>75</v>
      </c>
      <c r="BW2" s="52" t="s">
        <v>76</v>
      </c>
      <c r="BX2" s="52" t="s">
        <v>77</v>
      </c>
      <c r="BY2" s="52" t="s">
        <v>78</v>
      </c>
      <c r="BZ2" s="52" t="s">
        <v>79</v>
      </c>
      <c r="CA2" s="52" t="s">
        <v>80</v>
      </c>
      <c r="CB2" s="52" t="s">
        <v>81</v>
      </c>
      <c r="CC2" s="52" t="s">
        <v>82</v>
      </c>
      <c r="CD2" s="52" t="s">
        <v>83</v>
      </c>
      <c r="CE2" s="52" t="s">
        <v>84</v>
      </c>
      <c r="CF2" s="52" t="s">
        <v>85</v>
      </c>
      <c r="CG2" s="52" t="s">
        <v>86</v>
      </c>
      <c r="CH2" s="52" t="s">
        <v>87</v>
      </c>
      <c r="CI2" s="52" t="s">
        <v>88</v>
      </c>
      <c r="CJ2" s="11" t="s">
        <v>20</v>
      </c>
      <c r="CK2" s="53" t="s">
        <v>152</v>
      </c>
      <c r="CL2" s="53" t="s">
        <v>42</v>
      </c>
      <c r="CM2" s="53" t="s">
        <v>49</v>
      </c>
      <c r="CN2" s="11" t="s">
        <v>43</v>
      </c>
      <c r="CO2" s="11" t="s">
        <v>44</v>
      </c>
      <c r="CP2" s="11" t="s">
        <v>45</v>
      </c>
      <c r="CQ2" s="11" t="s">
        <v>46</v>
      </c>
      <c r="CR2" s="11" t="s">
        <v>47</v>
      </c>
      <c r="CS2" s="53" t="s">
        <v>48</v>
      </c>
      <c r="CT2" s="54" t="s">
        <v>89</v>
      </c>
      <c r="CU2" s="54" t="s">
        <v>90</v>
      </c>
      <c r="CV2" s="54" t="s">
        <v>203</v>
      </c>
      <c r="CW2" s="54" t="s">
        <v>202</v>
      </c>
      <c r="CX2" s="54" t="s">
        <v>91</v>
      </c>
      <c r="CY2" s="54" t="s">
        <v>92</v>
      </c>
      <c r="CZ2" s="54" t="s">
        <v>93</v>
      </c>
      <c r="DA2" s="54" t="s">
        <v>94</v>
      </c>
      <c r="DB2" s="54" t="s">
        <v>95</v>
      </c>
      <c r="DC2" s="54" t="s">
        <v>96</v>
      </c>
      <c r="DD2" s="54" t="s">
        <v>97</v>
      </c>
      <c r="DE2" s="54" t="s">
        <v>98</v>
      </c>
      <c r="DF2" s="54" t="s">
        <v>99</v>
      </c>
      <c r="DG2" s="54" t="s">
        <v>100</v>
      </c>
      <c r="DH2" s="54" t="s">
        <v>101</v>
      </c>
      <c r="DI2" s="54" t="s">
        <v>102</v>
      </c>
      <c r="DJ2" s="54" t="s">
        <v>103</v>
      </c>
      <c r="DK2" s="54" t="s">
        <v>104</v>
      </c>
      <c r="DL2" s="54" t="s">
        <v>210</v>
      </c>
      <c r="DM2" s="54" t="s">
        <v>207</v>
      </c>
      <c r="DN2" s="54" t="s">
        <v>105</v>
      </c>
      <c r="DO2" s="54" t="s">
        <v>106</v>
      </c>
      <c r="DP2" s="54" t="s">
        <v>211</v>
      </c>
      <c r="DQ2" s="54" t="s">
        <v>208</v>
      </c>
      <c r="DR2" s="54" t="s">
        <v>107</v>
      </c>
      <c r="DS2" s="54" t="s">
        <v>108</v>
      </c>
      <c r="DT2" s="54" t="s">
        <v>109</v>
      </c>
      <c r="DU2" s="54" t="s">
        <v>110</v>
      </c>
      <c r="DV2" s="54" t="s">
        <v>111</v>
      </c>
      <c r="DW2" s="54" t="s">
        <v>112</v>
      </c>
      <c r="DX2" s="54" t="s">
        <v>113</v>
      </c>
      <c r="DY2" s="54" t="s">
        <v>114</v>
      </c>
      <c r="DZ2" s="54" t="s">
        <v>437</v>
      </c>
      <c r="EA2" s="54" t="s">
        <v>436</v>
      </c>
      <c r="EB2" s="54" t="s">
        <v>115</v>
      </c>
      <c r="EC2" s="54" t="s">
        <v>116</v>
      </c>
      <c r="ED2" s="54" t="s">
        <v>117</v>
      </c>
      <c r="EE2" s="54" t="s">
        <v>118</v>
      </c>
      <c r="EF2" s="54" t="s">
        <v>119</v>
      </c>
      <c r="EG2" s="54" t="s">
        <v>120</v>
      </c>
      <c r="EH2" s="54" t="s">
        <v>121</v>
      </c>
      <c r="EI2" s="54" t="s">
        <v>122</v>
      </c>
      <c r="EJ2" s="54" t="s">
        <v>123</v>
      </c>
      <c r="EK2" s="54" t="s">
        <v>124</v>
      </c>
      <c r="EL2" s="54" t="s">
        <v>125</v>
      </c>
      <c r="EM2" s="54" t="s">
        <v>126</v>
      </c>
      <c r="EN2" s="54" t="s">
        <v>127</v>
      </c>
      <c r="EO2" s="54" t="s">
        <v>128</v>
      </c>
      <c r="EP2" s="54" t="s">
        <v>206</v>
      </c>
      <c r="EQ2" s="54" t="s">
        <v>205</v>
      </c>
      <c r="ER2" s="54" t="s">
        <v>129</v>
      </c>
      <c r="ES2" s="54" t="s">
        <v>130</v>
      </c>
      <c r="ET2" s="54" t="s">
        <v>131</v>
      </c>
      <c r="EU2" s="54" t="s">
        <v>132</v>
      </c>
      <c r="EV2" s="54" t="s">
        <v>133</v>
      </c>
      <c r="EW2" s="54" t="s">
        <v>134</v>
      </c>
      <c r="EX2" s="54" t="s">
        <v>135</v>
      </c>
      <c r="EY2" s="54" t="s">
        <v>136</v>
      </c>
      <c r="EZ2" s="54" t="s">
        <v>137</v>
      </c>
      <c r="FA2" s="54" t="s">
        <v>138</v>
      </c>
      <c r="FB2" s="54" t="s">
        <v>139</v>
      </c>
      <c r="FC2" s="54" t="s">
        <v>140</v>
      </c>
      <c r="FD2" s="54" t="s">
        <v>141</v>
      </c>
      <c r="FE2" s="54" t="s">
        <v>142</v>
      </c>
      <c r="FF2" s="54" t="s">
        <v>143</v>
      </c>
      <c r="FG2" s="54" t="s">
        <v>144</v>
      </c>
      <c r="FH2" s="53" t="s">
        <v>7</v>
      </c>
      <c r="FI2" s="11" t="s">
        <v>2</v>
      </c>
      <c r="FJ2" s="11" t="s">
        <v>3</v>
      </c>
      <c r="FK2" s="11" t="s">
        <v>4</v>
      </c>
      <c r="FL2" s="11" t="s">
        <v>5</v>
      </c>
      <c r="FM2" s="11" t="s">
        <v>6</v>
      </c>
      <c r="FN2" s="11" t="s">
        <v>200</v>
      </c>
      <c r="FO2" s="55" t="s">
        <v>180</v>
      </c>
      <c r="FP2" s="55" t="s">
        <v>181</v>
      </c>
      <c r="FQ2" s="55" t="s">
        <v>182</v>
      </c>
      <c r="FR2" s="55" t="s">
        <v>183</v>
      </c>
      <c r="FS2" s="55" t="s">
        <v>184</v>
      </c>
      <c r="FT2" s="55" t="s">
        <v>201</v>
      </c>
      <c r="FU2" s="55" t="s">
        <v>185</v>
      </c>
      <c r="FV2" s="11" t="s">
        <v>53</v>
      </c>
      <c r="FW2" s="11" t="s">
        <v>21</v>
      </c>
      <c r="FX2" s="11" t="s">
        <v>52</v>
      </c>
      <c r="FY2" s="56" t="s">
        <v>54</v>
      </c>
      <c r="FZ2" s="56" t="s">
        <v>55</v>
      </c>
      <c r="GA2" s="56" t="s">
        <v>56</v>
      </c>
      <c r="GB2" s="56" t="s">
        <v>57</v>
      </c>
      <c r="GC2" s="56" t="s">
        <v>58</v>
      </c>
      <c r="GD2" s="56" t="s">
        <v>59</v>
      </c>
      <c r="GE2" s="56" t="s">
        <v>60</v>
      </c>
      <c r="GF2" s="56" t="s">
        <v>61</v>
      </c>
      <c r="GG2" s="56" t="s">
        <v>62</v>
      </c>
      <c r="GH2" s="56" t="s">
        <v>63</v>
      </c>
      <c r="GI2" s="56" t="s">
        <v>64</v>
      </c>
      <c r="GJ2" s="56" t="s">
        <v>65</v>
      </c>
      <c r="GK2" s="56" t="s">
        <v>66</v>
      </c>
      <c r="GL2" s="56" t="s">
        <v>67</v>
      </c>
      <c r="GM2" s="56" t="s">
        <v>68</v>
      </c>
      <c r="GN2" s="11" t="s">
        <v>51</v>
      </c>
      <c r="GO2" s="11" t="s">
        <v>151</v>
      </c>
      <c r="GP2" s="11" t="s">
        <v>209</v>
      </c>
      <c r="GQ2" s="11" t="s">
        <v>161</v>
      </c>
      <c r="GR2" s="11" t="s">
        <v>160</v>
      </c>
      <c r="GS2" s="11" t="s">
        <v>159</v>
      </c>
      <c r="GT2" s="11" t="s">
        <v>158</v>
      </c>
      <c r="GU2" s="11" t="s">
        <v>156</v>
      </c>
      <c r="GV2" s="11" t="s">
        <v>150</v>
      </c>
      <c r="GW2" s="11" t="s">
        <v>176</v>
      </c>
      <c r="GX2" s="11" t="s">
        <v>177</v>
      </c>
      <c r="GY2" s="11" t="s">
        <v>173</v>
      </c>
      <c r="GZ2" s="11" t="s">
        <v>174</v>
      </c>
      <c r="HA2" s="13" t="s">
        <v>445</v>
      </c>
      <c r="HB2" s="13" t="s">
        <v>446</v>
      </c>
      <c r="HC2" s="13" t="s">
        <v>447</v>
      </c>
      <c r="HD2" s="13" t="s">
        <v>448</v>
      </c>
      <c r="HE2" s="40" t="s">
        <v>190</v>
      </c>
      <c r="HF2" s="40" t="s">
        <v>191</v>
      </c>
      <c r="HG2" s="40" t="s">
        <v>188</v>
      </c>
      <c r="HH2" s="40" t="s">
        <v>192</v>
      </c>
      <c r="HI2" s="40" t="s">
        <v>187</v>
      </c>
      <c r="HJ2" s="40" t="s">
        <v>193</v>
      </c>
      <c r="HK2" s="40" t="s">
        <v>189</v>
      </c>
      <c r="HL2" s="40" t="s">
        <v>198</v>
      </c>
      <c r="HM2" s="40" t="s">
        <v>195</v>
      </c>
      <c r="HN2" s="40" t="s">
        <v>196</v>
      </c>
      <c r="HO2" s="40" t="s">
        <v>197</v>
      </c>
      <c r="HP2" s="40" t="s">
        <v>194</v>
      </c>
      <c r="HQ2" s="40" t="s">
        <v>199</v>
      </c>
      <c r="HR2" s="40" t="s">
        <v>204</v>
      </c>
      <c r="HS2" s="57" t="s">
        <v>438</v>
      </c>
    </row>
    <row r="3" spans="1:228" ht="15">
      <c r="A3" s="13">
        <v>1</v>
      </c>
      <c r="B3" s="6" t="str">
        <f>VLOOKUP(Tabela3[[#This Row],[COD_LOJA1]],Tabela2[],2,FALSE)</f>
        <v>001 - RIO CLARO</v>
      </c>
      <c r="C3" s="7">
        <f>VLOOKUP(Tabela3[[#This Row],[COD_LOJA1]],Tabela2[],3,FALSE)</f>
        <v>34010</v>
      </c>
      <c r="D3" s="7" t="str">
        <f>VLOOKUP(Tabela3[[#This Row],[COD_LOJA1]],Tabela2[],4,FALSE)</f>
        <v>PROP (1)</v>
      </c>
      <c r="E3" s="6">
        <f>VLOOKUP(Tabela3[[#This Row],[COD_LOJA1]],Tabela2[],5,FALSE)</f>
        <v>1</v>
      </c>
      <c r="F3" s="6" t="e">
        <f ca="1">VLOOKUP(Tabela3[[#This Row],[COD_LOJA1]],Tabela2[],6,FALSE)</f>
        <v>#NAME?</v>
      </c>
      <c r="G3" s="43">
        <f>DATEVALUE(CONCATENATE("01/",Tabela3[[#This Row],[Mes]],"/",Tabela3[[#This Row],[Ano]]))</f>
        <v>38353</v>
      </c>
      <c r="H3" s="13">
        <v>1</v>
      </c>
      <c r="I3" s="13">
        <v>2005</v>
      </c>
      <c r="J3" s="13">
        <v>854</v>
      </c>
      <c r="K3" s="13">
        <v>5061</v>
      </c>
      <c r="L3" s="13">
        <v>399</v>
      </c>
      <c r="M3" s="13">
        <v>6314</v>
      </c>
      <c r="N3" s="13">
        <v>8</v>
      </c>
      <c r="O3" s="13">
        <v>47</v>
      </c>
      <c r="P3" s="13">
        <v>1</v>
      </c>
      <c r="Q3" s="13">
        <v>56</v>
      </c>
      <c r="R3" s="13">
        <v>52</v>
      </c>
      <c r="S3" s="13">
        <v>88</v>
      </c>
      <c r="T3" s="13">
        <v>1</v>
      </c>
      <c r="U3" s="13">
        <v>141</v>
      </c>
      <c r="V3" s="13">
        <v>623.29999999999995</v>
      </c>
      <c r="W3" s="13">
        <v>623.29999999999995</v>
      </c>
      <c r="X3" s="13">
        <v>0</v>
      </c>
      <c r="Y3" s="13">
        <v>0</v>
      </c>
      <c r="Z3" s="13">
        <v>0</v>
      </c>
      <c r="AA3" s="13">
        <v>28588.23</v>
      </c>
      <c r="AB3" s="13">
        <v>0</v>
      </c>
      <c r="AC3" s="13">
        <v>0</v>
      </c>
      <c r="AD3" s="13">
        <v>511</v>
      </c>
      <c r="AE3" s="13">
        <v>0</v>
      </c>
      <c r="AF3" s="13">
        <v>0</v>
      </c>
      <c r="AG3" s="13">
        <v>0</v>
      </c>
      <c r="AH3" s="13">
        <v>29251.23</v>
      </c>
      <c r="AI3" s="13">
        <v>110</v>
      </c>
      <c r="AJ3" s="13">
        <v>0</v>
      </c>
      <c r="AK3" s="13">
        <v>0</v>
      </c>
      <c r="AL3" s="13">
        <v>0</v>
      </c>
      <c r="AM3" s="13">
        <v>74476.820000000007</v>
      </c>
      <c r="AN3" s="13">
        <v>0</v>
      </c>
      <c r="AO3" s="13">
        <v>27.5</v>
      </c>
      <c r="AP3" s="13">
        <v>25066.73</v>
      </c>
      <c r="AQ3" s="13">
        <v>14879.5</v>
      </c>
      <c r="AR3" s="13">
        <v>160</v>
      </c>
      <c r="AS3" s="13">
        <v>40106.230000000003</v>
      </c>
      <c r="AT3" s="13">
        <v>18167.23</v>
      </c>
      <c r="AU3" s="13">
        <v>10932</v>
      </c>
      <c r="AV3" s="13">
        <v>0</v>
      </c>
      <c r="AW3" s="13">
        <v>29099.23</v>
      </c>
      <c r="AX3" s="13">
        <v>711.4</v>
      </c>
      <c r="AY3" s="13">
        <v>6</v>
      </c>
      <c r="AZ3" s="13">
        <v>26</v>
      </c>
      <c r="BA3" s="13">
        <v>0</v>
      </c>
      <c r="BB3" s="13">
        <v>0</v>
      </c>
      <c r="BC3" s="13">
        <v>99</v>
      </c>
      <c r="BD3" s="13">
        <v>108</v>
      </c>
      <c r="BE3" s="13">
        <v>1</v>
      </c>
      <c r="BF3" s="13">
        <v>208</v>
      </c>
      <c r="BG3" s="13">
        <v>99</v>
      </c>
      <c r="BH3" s="13">
        <v>108</v>
      </c>
      <c r="BI3" s="13">
        <v>1</v>
      </c>
      <c r="BJ3" s="13">
        <v>208</v>
      </c>
      <c r="BK3" s="13">
        <v>1</v>
      </c>
      <c r="BL3" s="13">
        <v>1</v>
      </c>
      <c r="BM3" s="13">
        <v>0</v>
      </c>
      <c r="BN3" s="13">
        <v>2</v>
      </c>
      <c r="BO3" s="13">
        <v>14.86</v>
      </c>
      <c r="BP3" s="13">
        <v>4618.3100000000004</v>
      </c>
      <c r="BQ3" s="13">
        <v>5195.87</v>
      </c>
      <c r="BR3" s="13">
        <v>1348.05</v>
      </c>
      <c r="BS3" s="13">
        <v>179</v>
      </c>
      <c r="BT3" s="13">
        <v>410.8</v>
      </c>
      <c r="BU3" s="13">
        <v>701.73</v>
      </c>
      <c r="BV3" s="13">
        <v>0</v>
      </c>
      <c r="BW3" s="13">
        <v>0</v>
      </c>
      <c r="BX3" s="13">
        <v>129</v>
      </c>
      <c r="BY3" s="13">
        <v>0</v>
      </c>
      <c r="BZ3" s="13"/>
      <c r="CA3" s="13"/>
      <c r="CB3" s="13">
        <v>573.5</v>
      </c>
      <c r="CC3" s="13"/>
      <c r="CD3" s="13"/>
      <c r="CE3" s="13"/>
      <c r="CF3" s="13"/>
      <c r="CG3" s="13"/>
      <c r="CH3" s="13"/>
      <c r="CI3" s="13">
        <v>0</v>
      </c>
      <c r="CJ3" s="13">
        <v>14</v>
      </c>
      <c r="CK3" s="13">
        <v>0</v>
      </c>
      <c r="CL3" s="13">
        <v>3835.39</v>
      </c>
      <c r="CM3" s="13">
        <v>580</v>
      </c>
      <c r="CN3" s="13">
        <v>132621.03</v>
      </c>
      <c r="CO3" s="13">
        <v>580</v>
      </c>
      <c r="CP3" s="13">
        <v>0</v>
      </c>
      <c r="CQ3" s="13">
        <v>0</v>
      </c>
      <c r="CR3" s="13">
        <v>53925.02</v>
      </c>
      <c r="CS3" s="13">
        <v>53925.02</v>
      </c>
      <c r="CT3" s="13">
        <v>733262</v>
      </c>
      <c r="CU3" s="13">
        <v>5995</v>
      </c>
      <c r="CV3" s="13"/>
      <c r="CW3" s="13"/>
      <c r="CX3" s="13">
        <v>64400</v>
      </c>
      <c r="CY3" s="13">
        <v>736.42</v>
      </c>
      <c r="CZ3" s="13">
        <v>2737</v>
      </c>
      <c r="DA3" s="13">
        <v>32.630000000000003</v>
      </c>
      <c r="DB3" s="13">
        <v>0</v>
      </c>
      <c r="DC3" s="13">
        <v>0</v>
      </c>
      <c r="DD3" s="13">
        <v>158110</v>
      </c>
      <c r="DE3" s="13">
        <v>550</v>
      </c>
      <c r="DF3" s="13">
        <v>2898</v>
      </c>
      <c r="DG3" s="13">
        <v>390</v>
      </c>
      <c r="DH3" s="13">
        <v>114855</v>
      </c>
      <c r="DI3" s="13">
        <v>210</v>
      </c>
      <c r="DJ3" s="13">
        <v>22510</v>
      </c>
      <c r="DK3" s="13">
        <v>150</v>
      </c>
      <c r="DL3" s="13"/>
      <c r="DM3" s="13"/>
      <c r="DN3" s="13">
        <v>30324</v>
      </c>
      <c r="DO3" s="13">
        <v>1727.14</v>
      </c>
      <c r="DP3" s="13"/>
      <c r="DQ3" s="13"/>
      <c r="DR3" s="13">
        <v>6416</v>
      </c>
      <c r="DS3" s="13">
        <v>130</v>
      </c>
      <c r="DT3" s="13">
        <v>0</v>
      </c>
      <c r="DU3" s="13">
        <v>0</v>
      </c>
      <c r="DV3" s="13">
        <v>88</v>
      </c>
      <c r="DW3" s="13">
        <v>0</v>
      </c>
      <c r="DX3" s="13">
        <v>25870</v>
      </c>
      <c r="DY3" s="13">
        <v>816.83</v>
      </c>
      <c r="DZ3" s="13"/>
      <c r="EA3" s="13"/>
      <c r="EB3" s="13">
        <v>919</v>
      </c>
      <c r="EC3" s="13">
        <v>0</v>
      </c>
      <c r="ED3" s="13"/>
      <c r="EE3" s="13"/>
      <c r="EF3" s="13">
        <v>8370</v>
      </c>
      <c r="EG3" s="13">
        <v>55</v>
      </c>
      <c r="EH3" s="13">
        <v>5012</v>
      </c>
      <c r="EI3" s="13">
        <v>0</v>
      </c>
      <c r="EJ3" s="13">
        <v>8010</v>
      </c>
      <c r="EK3" s="13">
        <v>135.63</v>
      </c>
      <c r="EL3" s="13">
        <v>3993</v>
      </c>
      <c r="EM3" s="13">
        <v>0</v>
      </c>
      <c r="EN3" s="13">
        <v>3586</v>
      </c>
      <c r="EO3" s="13">
        <v>279.18</v>
      </c>
      <c r="EP3" s="13"/>
      <c r="EQ3" s="13"/>
      <c r="ER3" s="13">
        <v>1274</v>
      </c>
      <c r="ES3" s="13">
        <v>0</v>
      </c>
      <c r="ET3" s="13">
        <v>139126</v>
      </c>
      <c r="EU3" s="13">
        <v>4620</v>
      </c>
      <c r="EV3" s="13">
        <v>0</v>
      </c>
      <c r="EW3" s="13">
        <v>0</v>
      </c>
      <c r="EX3" s="13">
        <v>0</v>
      </c>
      <c r="EY3" s="13">
        <v>0</v>
      </c>
      <c r="EZ3" s="13">
        <v>2400</v>
      </c>
      <c r="FA3" s="13">
        <v>35.049999999999997</v>
      </c>
      <c r="FB3" s="13">
        <v>0</v>
      </c>
      <c r="FC3" s="13">
        <v>0</v>
      </c>
      <c r="FD3" s="13">
        <v>19685</v>
      </c>
      <c r="FE3" s="13">
        <v>1309.27</v>
      </c>
      <c r="FF3" s="13">
        <v>7800</v>
      </c>
      <c r="FG3" s="13">
        <v>0</v>
      </c>
      <c r="FH3" s="13">
        <v>53699.4</v>
      </c>
      <c r="FI3" s="13">
        <v>51870.400000000001</v>
      </c>
      <c r="FJ3" s="13">
        <v>647</v>
      </c>
      <c r="FK3" s="13">
        <v>0</v>
      </c>
      <c r="FL3" s="13">
        <v>0</v>
      </c>
      <c r="FM3" s="13">
        <v>1182</v>
      </c>
      <c r="FN3" s="13"/>
      <c r="FO3" s="13">
        <v>17254.66</v>
      </c>
      <c r="FP3" s="13">
        <v>669.5</v>
      </c>
      <c r="FQ3" s="13">
        <v>56.25</v>
      </c>
      <c r="FR3" s="13">
        <v>0</v>
      </c>
      <c r="FS3" s="13">
        <v>1182</v>
      </c>
      <c r="FT3" s="13"/>
      <c r="FU3" s="13">
        <v>19162.41</v>
      </c>
      <c r="FV3" s="13">
        <v>3.9437151386741802E-2</v>
      </c>
      <c r="FW3" s="13">
        <v>0</v>
      </c>
      <c r="FX3" s="13">
        <v>0</v>
      </c>
      <c r="FY3" s="13">
        <v>9</v>
      </c>
      <c r="FZ3" s="13">
        <v>0</v>
      </c>
      <c r="GA3" s="13">
        <v>18</v>
      </c>
      <c r="GB3" s="13">
        <v>0</v>
      </c>
      <c r="GC3" s="13">
        <v>1</v>
      </c>
      <c r="GD3" s="13">
        <v>0</v>
      </c>
      <c r="GE3" s="13">
        <v>0</v>
      </c>
      <c r="GF3" s="13">
        <v>0</v>
      </c>
      <c r="GG3" s="13">
        <v>0</v>
      </c>
      <c r="GH3" s="13">
        <v>0</v>
      </c>
      <c r="GI3" s="13">
        <v>0</v>
      </c>
      <c r="GJ3" s="13">
        <v>0</v>
      </c>
      <c r="GK3" s="13">
        <v>0</v>
      </c>
      <c r="GL3" s="13">
        <v>0</v>
      </c>
      <c r="GM3" s="13">
        <v>1</v>
      </c>
      <c r="GN3" s="13">
        <v>258.17019230769199</v>
      </c>
      <c r="GO3" s="13">
        <v>0</v>
      </c>
      <c r="GP3" s="13"/>
      <c r="GQ3" s="13">
        <v>0</v>
      </c>
      <c r="GR3" s="13">
        <v>0</v>
      </c>
      <c r="GS3" s="13">
        <v>0</v>
      </c>
      <c r="GT3" s="13">
        <v>0</v>
      </c>
      <c r="GU3" s="13">
        <v>1</v>
      </c>
      <c r="GV3" s="13">
        <v>0</v>
      </c>
      <c r="GW3" s="13">
        <v>-2003.47</v>
      </c>
      <c r="GX3" s="13">
        <v>0</v>
      </c>
      <c r="GY3" s="13">
        <v>17172.150000000001</v>
      </c>
      <c r="GZ3" s="13">
        <v>1361645</v>
      </c>
      <c r="HA3" s="13"/>
      <c r="HB3" s="13"/>
      <c r="HC3" s="13"/>
      <c r="HD3" s="13"/>
      <c r="HE3" s="58">
        <f>Tabela3[[#This Row],[A8-IMPOSTOS E TAXAS]]+Tabela3[[#This Row],[E1-REEMBOLSOS]]</f>
        <v>0</v>
      </c>
      <c r="HF3" s="58">
        <f>Tabela3[[#This Row],[CR_RECEBIDOS]]-Tabela3[[#This Row],[DEDUCOES]]</f>
        <v>29099.23</v>
      </c>
      <c r="HG3" s="58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11735.73</v>
      </c>
      <c r="HH3" s="58">
        <f>Tabela3[[#This Row],[RECEBIMENTOS_MENOS_DEDUCOES]]-Tabela3[[#This Row],[CUSTOS]]</f>
        <v>17363.5</v>
      </c>
      <c r="HI3" s="58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1420.53</v>
      </c>
      <c r="HJ3" s="58">
        <f>Tabela3[[#This Row],[RECEBIMENTOS_MENOS_CUSTOS]]-Tabela3[[#This Row],[DESPESAS]]</f>
        <v>15942.97</v>
      </c>
      <c r="HK3" s="58">
        <f>Tabela3[[#This Row],[DEDUCOES]]+Tabela3[[#This Row],[CUSTOS]]+Tabela3[[#This Row],[DESPESAS]]</f>
        <v>13156.26</v>
      </c>
      <c r="HL3" s="47">
        <f>IFERROR(Tabela3[[#This Row],[RECEBIMENTOS_MENOS_DESPESAS]]/Tabela3[[#This Row],[CR_RECEBIDOS]],0)</f>
        <v>0.54788288212437231</v>
      </c>
      <c r="HM3" s="58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0</v>
      </c>
      <c r="HN3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800.5</v>
      </c>
      <c r="HO3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800.5</v>
      </c>
      <c r="HP3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2.723833251726087E-2</v>
      </c>
      <c r="HQ3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29388.73</v>
      </c>
      <c r="HR3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1246.5999999999999</v>
      </c>
      <c r="HS3" s="41">
        <v>1</v>
      </c>
    </row>
    <row r="4" spans="1:228" ht="15">
      <c r="A4" s="13">
        <v>1</v>
      </c>
      <c r="B4" s="6" t="str">
        <f>VLOOKUP(Tabela3[[#This Row],[COD_LOJA1]],Tabela2[],2,FALSE)</f>
        <v>001 - RIO CLARO</v>
      </c>
      <c r="C4" s="7">
        <f>VLOOKUP(Tabela3[[#This Row],[COD_LOJA1]],Tabela2[],3,FALSE)</f>
        <v>34010</v>
      </c>
      <c r="D4" s="7" t="str">
        <f>VLOOKUP(Tabela3[[#This Row],[COD_LOJA1]],Tabela2[],4,FALSE)</f>
        <v>PROP (1)</v>
      </c>
      <c r="E4" s="6">
        <f>VLOOKUP(Tabela3[[#This Row],[COD_LOJA1]],Tabela2[],5,FALSE)</f>
        <v>1</v>
      </c>
      <c r="F4" s="6" t="e">
        <f ca="1">VLOOKUP(Tabela3[[#This Row],[COD_LOJA1]],Tabela2[],6,FALSE)</f>
        <v>#NAME?</v>
      </c>
      <c r="G4" s="43">
        <f>DATEVALUE(CONCATENATE("01/",Tabela3[[#This Row],[Mes]],"/",Tabela3[[#This Row],[Ano]]))</f>
        <v>38354</v>
      </c>
      <c r="H4" s="13">
        <v>2</v>
      </c>
      <c r="I4" s="13">
        <v>2005</v>
      </c>
      <c r="J4" s="13">
        <v>863</v>
      </c>
      <c r="K4" s="13">
        <v>5125</v>
      </c>
      <c r="L4" s="13">
        <v>399</v>
      </c>
      <c r="M4" s="13">
        <v>6387</v>
      </c>
      <c r="N4" s="13">
        <v>9</v>
      </c>
      <c r="O4" s="13">
        <v>64</v>
      </c>
      <c r="P4" s="13">
        <v>0</v>
      </c>
      <c r="Q4" s="13">
        <v>73</v>
      </c>
      <c r="R4" s="13">
        <v>110</v>
      </c>
      <c r="S4" s="13">
        <v>251</v>
      </c>
      <c r="T4" s="13">
        <v>1</v>
      </c>
      <c r="U4" s="13">
        <v>362</v>
      </c>
      <c r="V4" s="13">
        <v>0</v>
      </c>
      <c r="W4" s="13">
        <v>390</v>
      </c>
      <c r="X4" s="13">
        <v>476.7</v>
      </c>
      <c r="Y4" s="13">
        <v>0</v>
      </c>
      <c r="Z4" s="13">
        <v>0</v>
      </c>
      <c r="AA4" s="13">
        <v>62417.85</v>
      </c>
      <c r="AB4" s="13">
        <v>290</v>
      </c>
      <c r="AC4" s="13">
        <v>0</v>
      </c>
      <c r="AD4" s="13">
        <v>1244</v>
      </c>
      <c r="AE4" s="13">
        <v>0</v>
      </c>
      <c r="AF4" s="13">
        <v>0</v>
      </c>
      <c r="AG4" s="13">
        <v>0</v>
      </c>
      <c r="AH4" s="13">
        <v>74476.820000000007</v>
      </c>
      <c r="AI4" s="13">
        <v>553</v>
      </c>
      <c r="AJ4" s="13">
        <v>110</v>
      </c>
      <c r="AK4" s="13">
        <v>0</v>
      </c>
      <c r="AL4" s="13">
        <v>0</v>
      </c>
      <c r="AM4" s="13">
        <v>75321.95</v>
      </c>
      <c r="AN4" s="13">
        <v>0</v>
      </c>
      <c r="AO4" s="13">
        <v>27.5</v>
      </c>
      <c r="AP4" s="13">
        <v>66438.070000000007</v>
      </c>
      <c r="AQ4" s="13">
        <v>30614.05</v>
      </c>
      <c r="AR4" s="13">
        <v>860</v>
      </c>
      <c r="AS4" s="13">
        <v>97912.12</v>
      </c>
      <c r="AT4" s="13">
        <v>42573.57</v>
      </c>
      <c r="AU4" s="13">
        <v>20523.28</v>
      </c>
      <c r="AV4" s="13">
        <v>1020</v>
      </c>
      <c r="AW4" s="13">
        <v>64116.85</v>
      </c>
      <c r="AX4" s="13">
        <v>4827.29</v>
      </c>
      <c r="AY4" s="13">
        <v>16</v>
      </c>
      <c r="AZ4" s="13">
        <v>80</v>
      </c>
      <c r="BA4" s="13">
        <v>0</v>
      </c>
      <c r="BB4" s="13">
        <v>0</v>
      </c>
      <c r="BC4" s="13">
        <v>283</v>
      </c>
      <c r="BD4" s="13">
        <v>325</v>
      </c>
      <c r="BE4" s="13">
        <v>0</v>
      </c>
      <c r="BF4" s="13">
        <v>608</v>
      </c>
      <c r="BG4" s="13">
        <v>226</v>
      </c>
      <c r="BH4" s="13">
        <v>267</v>
      </c>
      <c r="BI4" s="13">
        <v>0</v>
      </c>
      <c r="BJ4" s="13">
        <v>493</v>
      </c>
      <c r="BK4" s="13">
        <v>2</v>
      </c>
      <c r="BL4" s="13">
        <v>2</v>
      </c>
      <c r="BM4" s="13">
        <v>0</v>
      </c>
      <c r="BN4" s="13">
        <v>4</v>
      </c>
      <c r="BO4" s="13">
        <v>21.43</v>
      </c>
      <c r="BP4" s="13">
        <v>8135.59</v>
      </c>
      <c r="BQ4" s="13">
        <v>4708.6099999999997</v>
      </c>
      <c r="BR4" s="13">
        <v>2261.36</v>
      </c>
      <c r="BS4" s="13">
        <v>625.36</v>
      </c>
      <c r="BT4" s="13">
        <v>1366.28</v>
      </c>
      <c r="BU4" s="13">
        <v>171.83</v>
      </c>
      <c r="BV4" s="13">
        <v>2090.83</v>
      </c>
      <c r="BW4" s="13">
        <v>4036.04</v>
      </c>
      <c r="BX4" s="13">
        <v>869.5</v>
      </c>
      <c r="BY4" s="13">
        <v>0</v>
      </c>
      <c r="BZ4" s="13"/>
      <c r="CA4" s="13"/>
      <c r="CB4" s="13">
        <v>0</v>
      </c>
      <c r="CC4" s="13"/>
      <c r="CD4" s="13"/>
      <c r="CE4" s="13"/>
      <c r="CF4" s="13"/>
      <c r="CG4" s="13"/>
      <c r="CH4" s="13"/>
      <c r="CI4" s="13">
        <v>0</v>
      </c>
      <c r="CJ4" s="13">
        <v>23</v>
      </c>
      <c r="CK4" s="13">
        <v>390</v>
      </c>
      <c r="CL4" s="13">
        <v>8720.6200000000008</v>
      </c>
      <c r="CM4" s="13">
        <v>580</v>
      </c>
      <c r="CN4" s="13">
        <v>130776.03</v>
      </c>
      <c r="CO4" s="13">
        <v>580</v>
      </c>
      <c r="CP4" s="13">
        <v>0</v>
      </c>
      <c r="CQ4" s="13">
        <v>0</v>
      </c>
      <c r="CR4" s="13">
        <v>53925.02</v>
      </c>
      <c r="CS4" s="13">
        <v>53925.02</v>
      </c>
      <c r="CT4" s="13">
        <v>733262</v>
      </c>
      <c r="CU4" s="13">
        <v>30233.95</v>
      </c>
      <c r="CV4" s="13"/>
      <c r="CW4" s="13"/>
      <c r="CX4" s="13">
        <v>64400</v>
      </c>
      <c r="CY4" s="13">
        <v>3419.68</v>
      </c>
      <c r="CZ4" s="13">
        <v>2737</v>
      </c>
      <c r="DA4" s="13">
        <v>80</v>
      </c>
      <c r="DB4" s="13">
        <v>0</v>
      </c>
      <c r="DC4" s="13">
        <v>0</v>
      </c>
      <c r="DD4" s="13">
        <v>158110</v>
      </c>
      <c r="DE4" s="13">
        <v>9248.01</v>
      </c>
      <c r="DF4" s="13">
        <v>2898</v>
      </c>
      <c r="DG4" s="13">
        <v>680</v>
      </c>
      <c r="DH4" s="13">
        <v>114855</v>
      </c>
      <c r="DI4" s="13">
        <v>1365</v>
      </c>
      <c r="DJ4" s="13">
        <v>22510</v>
      </c>
      <c r="DK4" s="13">
        <v>2544</v>
      </c>
      <c r="DL4" s="13"/>
      <c r="DM4" s="13"/>
      <c r="DN4" s="13">
        <v>30324</v>
      </c>
      <c r="DO4" s="13">
        <v>2563.86</v>
      </c>
      <c r="DP4" s="13"/>
      <c r="DQ4" s="13"/>
      <c r="DR4" s="13">
        <v>6416</v>
      </c>
      <c r="DS4" s="13">
        <v>359</v>
      </c>
      <c r="DT4" s="13">
        <v>0</v>
      </c>
      <c r="DU4" s="13">
        <v>0</v>
      </c>
      <c r="DV4" s="13">
        <v>88</v>
      </c>
      <c r="DW4" s="13">
        <v>0</v>
      </c>
      <c r="DX4" s="13">
        <v>27365</v>
      </c>
      <c r="DY4" s="13">
        <v>2034</v>
      </c>
      <c r="DZ4" s="13"/>
      <c r="EA4" s="13"/>
      <c r="EB4" s="13">
        <v>919</v>
      </c>
      <c r="EC4" s="13">
        <v>0</v>
      </c>
      <c r="ED4" s="13"/>
      <c r="EE4" s="13"/>
      <c r="EF4" s="13">
        <v>8370</v>
      </c>
      <c r="EG4" s="13">
        <v>330</v>
      </c>
      <c r="EH4" s="13">
        <v>5012</v>
      </c>
      <c r="EI4" s="13">
        <v>70</v>
      </c>
      <c r="EJ4" s="13">
        <v>8010</v>
      </c>
      <c r="EK4" s="13">
        <v>490.63</v>
      </c>
      <c r="EL4" s="13">
        <v>3993</v>
      </c>
      <c r="EM4" s="13">
        <v>0</v>
      </c>
      <c r="EN4" s="13">
        <v>3586</v>
      </c>
      <c r="EO4" s="13">
        <v>-38.880000000000003</v>
      </c>
      <c r="EP4" s="13"/>
      <c r="EQ4" s="13"/>
      <c r="ER4" s="13">
        <v>1274</v>
      </c>
      <c r="ES4" s="13">
        <v>0</v>
      </c>
      <c r="ET4" s="13">
        <v>139126</v>
      </c>
      <c r="EU4" s="13">
        <v>11465.18</v>
      </c>
      <c r="EV4" s="13">
        <v>0</v>
      </c>
      <c r="EW4" s="13">
        <v>0</v>
      </c>
      <c r="EX4" s="13">
        <v>0</v>
      </c>
      <c r="EY4" s="13">
        <v>0</v>
      </c>
      <c r="EZ4" s="13">
        <v>2400</v>
      </c>
      <c r="FA4" s="13">
        <v>70.16</v>
      </c>
      <c r="FB4" s="13">
        <v>0</v>
      </c>
      <c r="FC4" s="13">
        <v>0</v>
      </c>
      <c r="FD4" s="13">
        <v>19685</v>
      </c>
      <c r="FE4" s="13">
        <v>1671.92</v>
      </c>
      <c r="FF4" s="13">
        <v>7800</v>
      </c>
      <c r="FG4" s="13">
        <v>380</v>
      </c>
      <c r="FH4" s="13">
        <v>60763.67</v>
      </c>
      <c r="FI4" s="13">
        <v>58131.67</v>
      </c>
      <c r="FJ4" s="13">
        <v>2076</v>
      </c>
      <c r="FK4" s="13">
        <v>340</v>
      </c>
      <c r="FL4" s="13">
        <v>0</v>
      </c>
      <c r="FM4" s="13">
        <v>216</v>
      </c>
      <c r="FN4" s="13"/>
      <c r="FO4" s="13">
        <v>81442.070000000007</v>
      </c>
      <c r="FP4" s="13">
        <v>2099</v>
      </c>
      <c r="FQ4" s="13">
        <v>91</v>
      </c>
      <c r="FR4" s="13">
        <v>0</v>
      </c>
      <c r="FS4" s="13">
        <v>216</v>
      </c>
      <c r="FT4" s="13"/>
      <c r="FU4" s="13">
        <v>83848.070000000007</v>
      </c>
      <c r="FV4" s="13">
        <v>4.4576250421820202E-2</v>
      </c>
      <c r="FW4" s="13">
        <v>0</v>
      </c>
      <c r="FX4" s="13">
        <v>0</v>
      </c>
      <c r="FY4" s="13">
        <v>7</v>
      </c>
      <c r="FZ4" s="13">
        <v>0</v>
      </c>
      <c r="GA4" s="13">
        <v>50</v>
      </c>
      <c r="GB4" s="13">
        <v>0</v>
      </c>
      <c r="GC4" s="13">
        <v>4</v>
      </c>
      <c r="GD4" s="13">
        <v>0</v>
      </c>
      <c r="GE4" s="13">
        <v>0</v>
      </c>
      <c r="GF4" s="13">
        <v>0</v>
      </c>
      <c r="GG4" s="13">
        <v>0</v>
      </c>
      <c r="GH4" s="13">
        <v>0</v>
      </c>
      <c r="GI4" s="13">
        <v>0</v>
      </c>
      <c r="GJ4" s="13">
        <v>0</v>
      </c>
      <c r="GK4" s="13">
        <v>0</v>
      </c>
      <c r="GL4" s="13">
        <v>0</v>
      </c>
      <c r="GM4" s="13">
        <v>1</v>
      </c>
      <c r="GN4" s="13">
        <v>99.940246710526296</v>
      </c>
      <c r="GO4" s="13">
        <v>0</v>
      </c>
      <c r="GP4" s="13"/>
      <c r="GQ4" s="13">
        <v>2778.83</v>
      </c>
      <c r="GR4" s="13">
        <v>1257.21</v>
      </c>
      <c r="GS4" s="13">
        <v>0</v>
      </c>
      <c r="GT4" s="13">
        <v>0</v>
      </c>
      <c r="GU4" s="13">
        <v>13</v>
      </c>
      <c r="GV4" s="13">
        <v>0</v>
      </c>
      <c r="GW4" s="13">
        <v>-2092.86</v>
      </c>
      <c r="GX4" s="13">
        <v>0</v>
      </c>
      <c r="GY4" s="13">
        <v>66966.509999999995</v>
      </c>
      <c r="GZ4" s="13">
        <v>1363140</v>
      </c>
      <c r="HA4" s="13"/>
      <c r="HB4" s="13"/>
      <c r="HC4" s="13"/>
      <c r="HD4" s="13"/>
      <c r="HE4" s="46">
        <f>Tabela3[[#This Row],[A8-IMPOSTOS E TAXAS]]+Tabela3[[#This Row],[E1-REEMBOLSOS]]</f>
        <v>4036.04</v>
      </c>
      <c r="HF4" s="46">
        <f>Tabela3[[#This Row],[CR_RECEBIDOS]]-Tabela3[[#This Row],[DEDUCOES]]</f>
        <v>60080.81</v>
      </c>
      <c r="HG4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15105.560000000001</v>
      </c>
      <c r="HH4" s="46">
        <f>Tabela3[[#This Row],[RECEBIMENTOS_MENOS_DEDUCOES]]-Tabela3[[#This Row],[CUSTOS]]</f>
        <v>44975.25</v>
      </c>
      <c r="HI4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5123.7999999999993</v>
      </c>
      <c r="HJ4" s="46">
        <f>Tabela3[[#This Row],[RECEBIMENTOS_MENOS_CUSTOS]]-Tabela3[[#This Row],[DESPESAS]]</f>
        <v>39851.449999999997</v>
      </c>
      <c r="HK4" s="46">
        <f>Tabela3[[#This Row],[DEDUCOES]]+Tabela3[[#This Row],[CUSTOS]]+Tabela3[[#This Row],[DESPESAS]]</f>
        <v>24265.4</v>
      </c>
      <c r="HL4" s="47">
        <f>IFERROR(Tabela3[[#This Row],[RECEBIMENTOS_MENOS_DESPESAS]]/Tabela3[[#This Row],[CR_RECEBIDOS]],0)</f>
        <v>0.62154410268127647</v>
      </c>
      <c r="HM4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165</v>
      </c>
      <c r="HN4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12294.470000000008</v>
      </c>
      <c r="HO4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11493.970000000008</v>
      </c>
      <c r="HP4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0.15455777186653952</v>
      </c>
      <c r="HQ4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74366.820000000007</v>
      </c>
      <c r="HR4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1256.7</v>
      </c>
      <c r="HS4" s="41">
        <v>2</v>
      </c>
    </row>
    <row r="5" spans="1:228" ht="15">
      <c r="A5" s="13">
        <v>1</v>
      </c>
      <c r="B5" s="6" t="str">
        <f>VLOOKUP(Tabela3[[#This Row],[COD_LOJA1]],Tabela2[],2,FALSE)</f>
        <v>001 - RIO CLARO</v>
      </c>
      <c r="C5" s="7">
        <f>VLOOKUP(Tabela3[[#This Row],[COD_LOJA1]],Tabela2[],3,FALSE)</f>
        <v>34010</v>
      </c>
      <c r="D5" s="7" t="str">
        <f>VLOOKUP(Tabela3[[#This Row],[COD_LOJA1]],Tabela2[],4,FALSE)</f>
        <v>PROP (1)</v>
      </c>
      <c r="E5" s="6">
        <f>VLOOKUP(Tabela3[[#This Row],[COD_LOJA1]],Tabela2[],5,FALSE)</f>
        <v>1</v>
      </c>
      <c r="F5" s="6" t="e">
        <f ca="1">VLOOKUP(Tabela3[[#This Row],[COD_LOJA1]],Tabela2[],6,FALSE)</f>
        <v>#NAME?</v>
      </c>
      <c r="G5" s="43">
        <f>DATEVALUE(CONCATENATE("01/",Tabela3[[#This Row],[Mes]],"/",Tabela3[[#This Row],[Ano]]))</f>
        <v>38355</v>
      </c>
      <c r="H5" s="13">
        <v>3</v>
      </c>
      <c r="I5" s="13">
        <v>2005</v>
      </c>
      <c r="J5" s="13">
        <v>876</v>
      </c>
      <c r="K5" s="13">
        <v>5180</v>
      </c>
      <c r="L5" s="13">
        <v>399</v>
      </c>
      <c r="M5" s="13">
        <v>6455</v>
      </c>
      <c r="N5" s="13">
        <v>13</v>
      </c>
      <c r="O5" s="13">
        <v>55</v>
      </c>
      <c r="P5" s="13">
        <v>0</v>
      </c>
      <c r="Q5" s="13">
        <v>68</v>
      </c>
      <c r="R5" s="13">
        <v>151</v>
      </c>
      <c r="S5" s="13">
        <v>366</v>
      </c>
      <c r="T5" s="13">
        <v>3</v>
      </c>
      <c r="U5" s="13">
        <v>520</v>
      </c>
      <c r="V5" s="13">
        <v>0</v>
      </c>
      <c r="W5" s="13">
        <v>0</v>
      </c>
      <c r="X5" s="13">
        <v>0</v>
      </c>
      <c r="Y5" s="13">
        <v>476.7</v>
      </c>
      <c r="Z5" s="13">
        <v>0</v>
      </c>
      <c r="AA5" s="13">
        <v>62389.67</v>
      </c>
      <c r="AB5" s="13">
        <v>1342.5</v>
      </c>
      <c r="AC5" s="13">
        <v>137</v>
      </c>
      <c r="AD5" s="13">
        <v>2986.3</v>
      </c>
      <c r="AE5" s="13">
        <v>0</v>
      </c>
      <c r="AF5" s="13">
        <v>0</v>
      </c>
      <c r="AG5" s="13">
        <v>0</v>
      </c>
      <c r="AH5" s="13">
        <v>75321.95</v>
      </c>
      <c r="AI5" s="13">
        <v>2742.5</v>
      </c>
      <c r="AJ5" s="13">
        <v>137</v>
      </c>
      <c r="AK5" s="13">
        <v>0</v>
      </c>
      <c r="AL5" s="13">
        <v>0</v>
      </c>
      <c r="AM5" s="13">
        <v>62194.7</v>
      </c>
      <c r="AN5" s="13">
        <v>0</v>
      </c>
      <c r="AO5" s="13">
        <v>27.5</v>
      </c>
      <c r="AP5" s="13">
        <v>46761.99</v>
      </c>
      <c r="AQ5" s="13">
        <v>24242.99</v>
      </c>
      <c r="AR5" s="13">
        <v>125</v>
      </c>
      <c r="AS5" s="13">
        <v>71129.98</v>
      </c>
      <c r="AT5" s="13">
        <v>47541.09</v>
      </c>
      <c r="AU5" s="13">
        <v>28447.200000000001</v>
      </c>
      <c r="AV5" s="13">
        <v>125</v>
      </c>
      <c r="AW5" s="13">
        <v>76113.289999999994</v>
      </c>
      <c r="AX5" s="13">
        <v>709.46</v>
      </c>
      <c r="AY5" s="13">
        <v>18</v>
      </c>
      <c r="AZ5" s="13">
        <v>61</v>
      </c>
      <c r="BA5" s="13">
        <v>0</v>
      </c>
      <c r="BB5" s="13">
        <v>0</v>
      </c>
      <c r="BC5" s="13">
        <v>318</v>
      </c>
      <c r="BD5" s="13">
        <v>302</v>
      </c>
      <c r="BE5" s="13">
        <v>2</v>
      </c>
      <c r="BF5" s="13">
        <v>622</v>
      </c>
      <c r="BG5" s="13">
        <v>182</v>
      </c>
      <c r="BH5" s="13">
        <v>221</v>
      </c>
      <c r="BI5" s="13">
        <v>2</v>
      </c>
      <c r="BJ5" s="13">
        <v>405</v>
      </c>
      <c r="BK5" s="13">
        <v>11</v>
      </c>
      <c r="BL5" s="13">
        <v>5</v>
      </c>
      <c r="BM5" s="13">
        <v>0</v>
      </c>
      <c r="BN5" s="13">
        <v>16</v>
      </c>
      <c r="BO5" s="13">
        <v>15.58</v>
      </c>
      <c r="BP5" s="13">
        <v>8451.18</v>
      </c>
      <c r="BQ5" s="13">
        <v>8461.9599999999991</v>
      </c>
      <c r="BR5" s="13">
        <v>2539.5300000000002</v>
      </c>
      <c r="BS5" s="13">
        <v>2518.7600000000002</v>
      </c>
      <c r="BT5" s="13">
        <v>688.99</v>
      </c>
      <c r="BU5" s="13">
        <v>629.91</v>
      </c>
      <c r="BV5" s="13">
        <v>887.38</v>
      </c>
      <c r="BW5" s="13">
        <v>1.6</v>
      </c>
      <c r="BX5" s="13">
        <v>349</v>
      </c>
      <c r="BY5" s="13">
        <v>0</v>
      </c>
      <c r="BZ5" s="13"/>
      <c r="CA5" s="13"/>
      <c r="CB5" s="13">
        <v>0</v>
      </c>
      <c r="CC5" s="13"/>
      <c r="CD5" s="13"/>
      <c r="CE5" s="13"/>
      <c r="CF5" s="13"/>
      <c r="CG5" s="13"/>
      <c r="CH5" s="13"/>
      <c r="CI5" s="13">
        <v>0</v>
      </c>
      <c r="CJ5" s="13">
        <v>26</v>
      </c>
      <c r="CK5" s="13">
        <v>0</v>
      </c>
      <c r="CL5" s="13">
        <v>17314.71</v>
      </c>
      <c r="CM5" s="13">
        <v>690667.36</v>
      </c>
      <c r="CN5" s="13">
        <v>469555.97</v>
      </c>
      <c r="CO5" s="13">
        <v>690667.36</v>
      </c>
      <c r="CP5" s="13">
        <v>0</v>
      </c>
      <c r="CQ5" s="13">
        <v>0</v>
      </c>
      <c r="CR5" s="13">
        <v>53925.02</v>
      </c>
      <c r="CS5" s="13">
        <v>53925.02</v>
      </c>
      <c r="CT5" s="13">
        <v>733262</v>
      </c>
      <c r="CU5" s="13">
        <v>32375.03</v>
      </c>
      <c r="CV5" s="13"/>
      <c r="CW5" s="13"/>
      <c r="CX5" s="13">
        <v>64400</v>
      </c>
      <c r="CY5" s="13">
        <v>3318.08</v>
      </c>
      <c r="CZ5" s="13">
        <v>2737</v>
      </c>
      <c r="DA5" s="13">
        <v>190</v>
      </c>
      <c r="DB5" s="13">
        <v>0</v>
      </c>
      <c r="DC5" s="13">
        <v>0</v>
      </c>
      <c r="DD5" s="13">
        <v>158110</v>
      </c>
      <c r="DE5" s="13">
        <v>7146</v>
      </c>
      <c r="DF5" s="13">
        <v>2898</v>
      </c>
      <c r="DG5" s="13">
        <v>760</v>
      </c>
      <c r="DH5" s="13">
        <v>114855</v>
      </c>
      <c r="DI5" s="13">
        <v>3041</v>
      </c>
      <c r="DJ5" s="13">
        <v>22510</v>
      </c>
      <c r="DK5" s="13">
        <v>2102.33</v>
      </c>
      <c r="DL5" s="13"/>
      <c r="DM5" s="13"/>
      <c r="DN5" s="13">
        <v>30324</v>
      </c>
      <c r="DO5" s="13">
        <v>2744.31</v>
      </c>
      <c r="DP5" s="13"/>
      <c r="DQ5" s="13"/>
      <c r="DR5" s="13">
        <v>6416</v>
      </c>
      <c r="DS5" s="13">
        <v>416.29</v>
      </c>
      <c r="DT5" s="13">
        <v>0</v>
      </c>
      <c r="DU5" s="13">
        <v>0</v>
      </c>
      <c r="DV5" s="13">
        <v>88</v>
      </c>
      <c r="DW5" s="13">
        <v>0</v>
      </c>
      <c r="DX5" s="13">
        <v>27365</v>
      </c>
      <c r="DY5" s="13">
        <v>2264.5</v>
      </c>
      <c r="DZ5" s="13"/>
      <c r="EA5" s="13"/>
      <c r="EB5" s="13">
        <v>919</v>
      </c>
      <c r="EC5" s="13">
        <v>0</v>
      </c>
      <c r="ED5" s="13"/>
      <c r="EE5" s="13"/>
      <c r="EF5" s="13">
        <v>8370</v>
      </c>
      <c r="EG5" s="13">
        <v>165</v>
      </c>
      <c r="EH5" s="13">
        <v>5012</v>
      </c>
      <c r="EI5" s="13">
        <v>35</v>
      </c>
      <c r="EJ5" s="13">
        <v>8010</v>
      </c>
      <c r="EK5" s="13">
        <v>533.33000000000004</v>
      </c>
      <c r="EL5" s="13">
        <v>3993</v>
      </c>
      <c r="EM5" s="13">
        <v>0</v>
      </c>
      <c r="EN5" s="13">
        <v>3586</v>
      </c>
      <c r="EO5" s="13">
        <v>62.5</v>
      </c>
      <c r="EP5" s="13"/>
      <c r="EQ5" s="13"/>
      <c r="ER5" s="13">
        <v>1274</v>
      </c>
      <c r="ES5" s="13">
        <v>0</v>
      </c>
      <c r="ET5" s="13">
        <v>139126</v>
      </c>
      <c r="EU5" s="13">
        <v>12077.54</v>
      </c>
      <c r="EV5" s="13">
        <v>0</v>
      </c>
      <c r="EW5" s="13">
        <v>0</v>
      </c>
      <c r="EX5" s="13">
        <v>0</v>
      </c>
      <c r="EY5" s="13">
        <v>0</v>
      </c>
      <c r="EZ5" s="13">
        <v>2400</v>
      </c>
      <c r="FA5" s="13">
        <v>39.24</v>
      </c>
      <c r="FB5" s="13">
        <v>0</v>
      </c>
      <c r="FC5" s="13">
        <v>0</v>
      </c>
      <c r="FD5" s="13">
        <v>19685</v>
      </c>
      <c r="FE5" s="13">
        <v>3263.99</v>
      </c>
      <c r="FF5" s="13">
        <v>7800</v>
      </c>
      <c r="FG5" s="13">
        <v>392.67</v>
      </c>
      <c r="FH5" s="13">
        <v>65757.67</v>
      </c>
      <c r="FI5" s="13">
        <v>63370.92</v>
      </c>
      <c r="FJ5" s="13">
        <v>1467.5</v>
      </c>
      <c r="FK5" s="13">
        <v>241.25</v>
      </c>
      <c r="FL5" s="13">
        <v>0</v>
      </c>
      <c r="FM5" s="13">
        <v>678</v>
      </c>
      <c r="FN5" s="13"/>
      <c r="FO5" s="13">
        <v>114555.46</v>
      </c>
      <c r="FP5" s="13">
        <v>1467.5</v>
      </c>
      <c r="FQ5" s="13">
        <v>937.81</v>
      </c>
      <c r="FR5" s="13">
        <v>0</v>
      </c>
      <c r="FS5" s="13">
        <v>678</v>
      </c>
      <c r="FT5" s="13"/>
      <c r="FU5" s="13">
        <v>117638.77</v>
      </c>
      <c r="FV5" s="13">
        <v>4.8239850638965902E-2</v>
      </c>
      <c r="FW5" s="13">
        <v>0</v>
      </c>
      <c r="FX5" s="13">
        <v>0</v>
      </c>
      <c r="FY5" s="13">
        <v>4</v>
      </c>
      <c r="FZ5" s="13">
        <v>0</v>
      </c>
      <c r="GA5" s="13">
        <v>62</v>
      </c>
      <c r="GB5" s="13">
        <v>0</v>
      </c>
      <c r="GC5" s="13">
        <v>1</v>
      </c>
      <c r="GD5" s="13">
        <v>0</v>
      </c>
      <c r="GE5" s="13">
        <v>0</v>
      </c>
      <c r="GF5" s="13">
        <v>0</v>
      </c>
      <c r="GG5" s="13">
        <v>0</v>
      </c>
      <c r="GH5" s="13">
        <v>0</v>
      </c>
      <c r="GI5" s="13">
        <v>0</v>
      </c>
      <c r="GJ5" s="13">
        <v>0</v>
      </c>
      <c r="GK5" s="13">
        <v>0</v>
      </c>
      <c r="GL5" s="13">
        <v>0</v>
      </c>
      <c r="GM5" s="13">
        <v>0</v>
      </c>
      <c r="GN5" s="13">
        <v>105.71972668810299</v>
      </c>
      <c r="GO5" s="13">
        <v>0</v>
      </c>
      <c r="GP5" s="13"/>
      <c r="GQ5" s="13">
        <v>0</v>
      </c>
      <c r="GR5" s="13">
        <v>1.6</v>
      </c>
      <c r="GS5" s="13">
        <v>0</v>
      </c>
      <c r="GT5" s="13">
        <v>0</v>
      </c>
      <c r="GU5" s="13">
        <v>4</v>
      </c>
      <c r="GV5" s="13">
        <v>0</v>
      </c>
      <c r="GW5" s="13">
        <v>-11029.23</v>
      </c>
      <c r="GX5" s="13">
        <v>0</v>
      </c>
      <c r="GY5" s="13">
        <v>70926.81</v>
      </c>
      <c r="GZ5" s="13">
        <v>1363140</v>
      </c>
      <c r="HA5" s="13"/>
      <c r="HB5" s="13"/>
      <c r="HC5" s="13"/>
      <c r="HD5" s="13"/>
      <c r="HE5" s="46">
        <f>Tabela3[[#This Row],[A8-IMPOSTOS E TAXAS]]+Tabela3[[#This Row],[E1-REEMBOLSOS]]</f>
        <v>1.6</v>
      </c>
      <c r="HF5" s="46">
        <f>Tabela3[[#This Row],[CR_RECEBIDOS]]-Tabela3[[#This Row],[DEDUCOES]]</f>
        <v>76111.689999999988</v>
      </c>
      <c r="HG5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19452.669999999998</v>
      </c>
      <c r="HH5" s="46">
        <f>Tabela3[[#This Row],[RECEBIMENTOS_MENOS_DEDUCOES]]-Tabela3[[#This Row],[CUSTOS]]</f>
        <v>56659.01999999999</v>
      </c>
      <c r="HI5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5074.04</v>
      </c>
      <c r="HJ5" s="46">
        <f>Tabela3[[#This Row],[RECEBIMENTOS_MENOS_CUSTOS]]-Tabela3[[#This Row],[DESPESAS]]</f>
        <v>51584.979999999989</v>
      </c>
      <c r="HK5" s="46">
        <f>Tabela3[[#This Row],[DEDUCOES]]+Tabela3[[#This Row],[CUSTOS]]+Tabela3[[#This Row],[DESPESAS]]</f>
        <v>24528.309999999998</v>
      </c>
      <c r="HL5" s="47">
        <f>IFERROR(Tabela3[[#This Row],[RECEBIMENTOS_MENOS_DESPESAS]]/Tabela3[[#This Row],[CR_RECEBIDOS]],0)</f>
        <v>0.67773945916672362</v>
      </c>
      <c r="HM5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9257.8199999999961</v>
      </c>
      <c r="HN5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5101.9600000000064</v>
      </c>
      <c r="HO5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-7192.510000000002</v>
      </c>
      <c r="HP5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-9.8356434471048276E-2</v>
      </c>
      <c r="HQ5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73126.989999999991</v>
      </c>
      <c r="HR5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476.7</v>
      </c>
      <c r="HS5" s="41">
        <v>3</v>
      </c>
    </row>
    <row r="6" spans="1:228" ht="15">
      <c r="A6" s="13">
        <v>1</v>
      </c>
      <c r="B6" s="6" t="str">
        <f>VLOOKUP(Tabela3[[#This Row],[COD_LOJA1]],Tabela2[],2,FALSE)</f>
        <v>001 - RIO CLARO</v>
      </c>
      <c r="C6" s="7">
        <f>VLOOKUP(Tabela3[[#This Row],[COD_LOJA1]],Tabela2[],3,FALSE)</f>
        <v>34010</v>
      </c>
      <c r="D6" s="7" t="str">
        <f>VLOOKUP(Tabela3[[#This Row],[COD_LOJA1]],Tabela2[],4,FALSE)</f>
        <v>PROP (1)</v>
      </c>
      <c r="E6" s="6">
        <f>VLOOKUP(Tabela3[[#This Row],[COD_LOJA1]],Tabela2[],5,FALSE)</f>
        <v>1</v>
      </c>
      <c r="F6" s="6" t="e">
        <f ca="1">VLOOKUP(Tabela3[[#This Row],[COD_LOJA1]],Tabela2[],6,FALSE)</f>
        <v>#NAME?</v>
      </c>
      <c r="G6" s="43">
        <f>DATEVALUE(CONCATENATE("01/",Tabela3[[#This Row],[Mes]],"/",Tabela3[[#This Row],[Ano]]))</f>
        <v>38356</v>
      </c>
      <c r="H6" s="13">
        <v>4</v>
      </c>
      <c r="I6" s="13">
        <v>2005</v>
      </c>
      <c r="J6" s="13">
        <v>886</v>
      </c>
      <c r="K6" s="13">
        <v>5239</v>
      </c>
      <c r="L6" s="13">
        <v>399</v>
      </c>
      <c r="M6" s="13">
        <v>6524</v>
      </c>
      <c r="N6" s="13">
        <v>10</v>
      </c>
      <c r="O6" s="13">
        <v>59</v>
      </c>
      <c r="P6" s="13">
        <v>0</v>
      </c>
      <c r="Q6" s="13">
        <v>69</v>
      </c>
      <c r="R6" s="13">
        <v>194</v>
      </c>
      <c r="S6" s="13">
        <v>481</v>
      </c>
      <c r="T6" s="13">
        <v>3</v>
      </c>
      <c r="U6" s="13">
        <v>678</v>
      </c>
      <c r="V6" s="13">
        <v>0</v>
      </c>
      <c r="W6" s="13">
        <v>0</v>
      </c>
      <c r="X6" s="13">
        <v>0</v>
      </c>
      <c r="Y6" s="13">
        <v>0</v>
      </c>
      <c r="Z6" s="13">
        <v>476.7</v>
      </c>
      <c r="AA6" s="13">
        <v>51025.64</v>
      </c>
      <c r="AB6" s="13">
        <v>2470.5</v>
      </c>
      <c r="AC6" s="13">
        <v>604</v>
      </c>
      <c r="AD6" s="13">
        <v>826</v>
      </c>
      <c r="AE6" s="13">
        <v>150</v>
      </c>
      <c r="AF6" s="13">
        <v>84</v>
      </c>
      <c r="AG6" s="13">
        <v>0</v>
      </c>
      <c r="AH6" s="13">
        <v>62194.7</v>
      </c>
      <c r="AI6" s="13">
        <v>3975</v>
      </c>
      <c r="AJ6" s="13">
        <v>737.5</v>
      </c>
      <c r="AK6" s="13">
        <v>84</v>
      </c>
      <c r="AL6" s="13">
        <v>0</v>
      </c>
      <c r="AM6" s="13">
        <v>62995.26</v>
      </c>
      <c r="AN6" s="13">
        <v>0</v>
      </c>
      <c r="AO6" s="13">
        <v>27.5</v>
      </c>
      <c r="AP6" s="13">
        <v>46081.47</v>
      </c>
      <c r="AQ6" s="13">
        <v>16783.599999999999</v>
      </c>
      <c r="AR6" s="13">
        <v>115</v>
      </c>
      <c r="AS6" s="13">
        <v>62980.07</v>
      </c>
      <c r="AT6" s="13">
        <v>48184.69</v>
      </c>
      <c r="AU6" s="13">
        <v>16275.96</v>
      </c>
      <c r="AV6" s="13">
        <v>115</v>
      </c>
      <c r="AW6" s="13">
        <v>64575.65</v>
      </c>
      <c r="AX6" s="13">
        <v>3976.65</v>
      </c>
      <c r="AY6" s="13">
        <v>19</v>
      </c>
      <c r="AZ6" s="13">
        <v>118</v>
      </c>
      <c r="BA6" s="13">
        <v>0</v>
      </c>
      <c r="BB6" s="13">
        <v>0</v>
      </c>
      <c r="BC6" s="13">
        <v>402</v>
      </c>
      <c r="BD6" s="13">
        <v>342</v>
      </c>
      <c r="BE6" s="13">
        <v>2</v>
      </c>
      <c r="BF6" s="13">
        <v>746</v>
      </c>
      <c r="BG6" s="13">
        <v>248</v>
      </c>
      <c r="BH6" s="13">
        <v>250</v>
      </c>
      <c r="BI6" s="13">
        <v>1</v>
      </c>
      <c r="BJ6" s="13">
        <v>499</v>
      </c>
      <c r="BK6" s="13">
        <v>9</v>
      </c>
      <c r="BL6" s="13">
        <v>10</v>
      </c>
      <c r="BM6" s="13">
        <v>0</v>
      </c>
      <c r="BN6" s="13">
        <v>19</v>
      </c>
      <c r="BO6" s="13">
        <v>19.190000000000001</v>
      </c>
      <c r="BP6" s="13">
        <v>35.49</v>
      </c>
      <c r="BQ6" s="13">
        <v>3052.74</v>
      </c>
      <c r="BR6" s="13">
        <v>1146.76</v>
      </c>
      <c r="BS6" s="13">
        <v>163.69999999999999</v>
      </c>
      <c r="BT6" s="13">
        <v>16.12</v>
      </c>
      <c r="BU6" s="13">
        <v>0</v>
      </c>
      <c r="BV6" s="13">
        <v>596.87</v>
      </c>
      <c r="BW6" s="13">
        <v>0</v>
      </c>
      <c r="BX6" s="13">
        <v>24.1</v>
      </c>
      <c r="BY6" s="13">
        <v>0</v>
      </c>
      <c r="BZ6" s="13"/>
      <c r="CA6" s="13"/>
      <c r="CB6" s="13">
        <v>0</v>
      </c>
      <c r="CC6" s="13"/>
      <c r="CD6" s="13"/>
      <c r="CE6" s="13"/>
      <c r="CF6" s="13"/>
      <c r="CG6" s="13"/>
      <c r="CH6" s="13"/>
      <c r="CI6" s="13">
        <v>0</v>
      </c>
      <c r="CJ6" s="13">
        <v>26</v>
      </c>
      <c r="CK6" s="13">
        <v>0</v>
      </c>
      <c r="CL6" s="13">
        <v>0</v>
      </c>
      <c r="CM6" s="13">
        <v>691997.36</v>
      </c>
      <c r="CN6" s="13">
        <v>646952.97</v>
      </c>
      <c r="CO6" s="13">
        <v>691997.36</v>
      </c>
      <c r="CP6" s="13">
        <v>0</v>
      </c>
      <c r="CQ6" s="13">
        <v>0</v>
      </c>
      <c r="CR6" s="13">
        <v>53925.02</v>
      </c>
      <c r="CS6" s="13">
        <v>53925.02</v>
      </c>
      <c r="CT6" s="13">
        <v>733262</v>
      </c>
      <c r="CU6" s="13">
        <v>30178.58</v>
      </c>
      <c r="CV6" s="13"/>
      <c r="CW6" s="13"/>
      <c r="CX6" s="13">
        <v>64400</v>
      </c>
      <c r="CY6" s="13">
        <v>3182.55</v>
      </c>
      <c r="CZ6" s="13">
        <v>2737</v>
      </c>
      <c r="DA6" s="13">
        <v>275</v>
      </c>
      <c r="DB6" s="13">
        <v>0</v>
      </c>
      <c r="DC6" s="13">
        <v>0</v>
      </c>
      <c r="DD6" s="13">
        <v>173470</v>
      </c>
      <c r="DE6" s="13">
        <v>8829.2800000000007</v>
      </c>
      <c r="DF6" s="13">
        <v>2898</v>
      </c>
      <c r="DG6" s="13">
        <v>669.99</v>
      </c>
      <c r="DH6" s="13">
        <v>114855</v>
      </c>
      <c r="DI6" s="13">
        <v>978</v>
      </c>
      <c r="DJ6" s="13">
        <v>22510</v>
      </c>
      <c r="DK6" s="13">
        <v>-143.33000000000001</v>
      </c>
      <c r="DL6" s="13"/>
      <c r="DM6" s="13"/>
      <c r="DN6" s="13">
        <v>42278</v>
      </c>
      <c r="DO6" s="13">
        <v>2950</v>
      </c>
      <c r="DP6" s="13"/>
      <c r="DQ6" s="13"/>
      <c r="DR6" s="13">
        <v>6416</v>
      </c>
      <c r="DS6" s="13">
        <v>533.21</v>
      </c>
      <c r="DT6" s="13">
        <v>0</v>
      </c>
      <c r="DU6" s="13">
        <v>0</v>
      </c>
      <c r="DV6" s="13">
        <v>88</v>
      </c>
      <c r="DW6" s="13">
        <v>0</v>
      </c>
      <c r="DX6" s="13">
        <v>27365</v>
      </c>
      <c r="DY6" s="13">
        <v>2882.05</v>
      </c>
      <c r="DZ6" s="13"/>
      <c r="EA6" s="13"/>
      <c r="EB6" s="13">
        <v>919</v>
      </c>
      <c r="EC6" s="13">
        <v>0</v>
      </c>
      <c r="ED6" s="13"/>
      <c r="EE6" s="13"/>
      <c r="EF6" s="13">
        <v>8370</v>
      </c>
      <c r="EG6" s="13">
        <v>825</v>
      </c>
      <c r="EH6" s="13">
        <v>5012</v>
      </c>
      <c r="EI6" s="13">
        <v>0</v>
      </c>
      <c r="EJ6" s="13">
        <v>8010</v>
      </c>
      <c r="EK6" s="13">
        <v>390</v>
      </c>
      <c r="EL6" s="13">
        <v>3993</v>
      </c>
      <c r="EM6" s="13">
        <v>0</v>
      </c>
      <c r="EN6" s="13">
        <v>3586</v>
      </c>
      <c r="EO6" s="13">
        <v>170</v>
      </c>
      <c r="EP6" s="13"/>
      <c r="EQ6" s="13"/>
      <c r="ER6" s="13">
        <v>1274</v>
      </c>
      <c r="ES6" s="13">
        <v>0</v>
      </c>
      <c r="ET6" s="13">
        <v>139126</v>
      </c>
      <c r="EU6" s="13">
        <v>13996.42</v>
      </c>
      <c r="EV6" s="13">
        <v>0</v>
      </c>
      <c r="EW6" s="13">
        <v>0</v>
      </c>
      <c r="EX6" s="13">
        <v>0</v>
      </c>
      <c r="EY6" s="13">
        <v>0</v>
      </c>
      <c r="EZ6" s="13">
        <v>2400</v>
      </c>
      <c r="FA6" s="13">
        <v>135</v>
      </c>
      <c r="FB6" s="13">
        <v>0</v>
      </c>
      <c r="FC6" s="13">
        <v>0</v>
      </c>
      <c r="FD6" s="13">
        <v>21725</v>
      </c>
      <c r="FE6" s="13">
        <v>2008.22</v>
      </c>
      <c r="FF6" s="13">
        <v>7800</v>
      </c>
      <c r="FG6" s="13">
        <v>380</v>
      </c>
      <c r="FH6" s="13">
        <v>68898.149999999994</v>
      </c>
      <c r="FI6" s="13">
        <v>65713.149999999994</v>
      </c>
      <c r="FJ6" s="13">
        <v>2060</v>
      </c>
      <c r="FK6" s="13">
        <v>29.5</v>
      </c>
      <c r="FL6" s="13">
        <v>793</v>
      </c>
      <c r="FM6" s="13">
        <v>302.5</v>
      </c>
      <c r="FN6" s="13"/>
      <c r="FO6" s="13">
        <v>145846.25</v>
      </c>
      <c r="FP6" s="13">
        <v>2073.5</v>
      </c>
      <c r="FQ6" s="13">
        <v>1560.25</v>
      </c>
      <c r="FR6" s="13">
        <v>18</v>
      </c>
      <c r="FS6" s="13">
        <v>295</v>
      </c>
      <c r="FT6" s="13"/>
      <c r="FU6" s="13">
        <v>149793</v>
      </c>
      <c r="FV6" s="13">
        <v>4.9478238326341101E-2</v>
      </c>
      <c r="FW6" s="13">
        <v>0</v>
      </c>
      <c r="FX6" s="13">
        <v>0</v>
      </c>
      <c r="FY6" s="13">
        <v>7</v>
      </c>
      <c r="FZ6" s="13">
        <v>0</v>
      </c>
      <c r="GA6" s="13">
        <v>54</v>
      </c>
      <c r="GB6" s="13">
        <v>0</v>
      </c>
      <c r="GC6" s="13">
        <v>0</v>
      </c>
      <c r="GD6" s="13">
        <v>0</v>
      </c>
      <c r="GE6" s="13">
        <v>0</v>
      </c>
      <c r="GF6" s="13">
        <v>0</v>
      </c>
      <c r="GG6" s="13">
        <v>0</v>
      </c>
      <c r="GH6" s="13">
        <v>0</v>
      </c>
      <c r="GI6" s="13">
        <v>0</v>
      </c>
      <c r="GJ6" s="13">
        <v>0</v>
      </c>
      <c r="GK6" s="13">
        <v>0</v>
      </c>
      <c r="GL6" s="13">
        <v>0</v>
      </c>
      <c r="GM6" s="13">
        <v>1</v>
      </c>
      <c r="GN6" s="13">
        <v>92.356769436997297</v>
      </c>
      <c r="GO6" s="13">
        <v>0</v>
      </c>
      <c r="GP6" s="13"/>
      <c r="GQ6" s="13">
        <v>0</v>
      </c>
      <c r="GR6" s="13">
        <v>0</v>
      </c>
      <c r="GS6" s="13">
        <v>0</v>
      </c>
      <c r="GT6" s="13">
        <v>0</v>
      </c>
      <c r="GU6" s="13">
        <v>14</v>
      </c>
      <c r="GV6" s="13">
        <v>0</v>
      </c>
      <c r="GW6" s="13">
        <v>-17883.419999999998</v>
      </c>
      <c r="GX6" s="13">
        <v>0</v>
      </c>
      <c r="GY6" s="13">
        <v>68239.97</v>
      </c>
      <c r="GZ6" s="13">
        <v>1392494</v>
      </c>
      <c r="HA6" s="13"/>
      <c r="HB6" s="13"/>
      <c r="HC6" s="13"/>
      <c r="HD6" s="13"/>
      <c r="HE6" s="46">
        <f>Tabela3[[#This Row],[A8-IMPOSTOS E TAXAS]]+Tabela3[[#This Row],[E1-REEMBOLSOS]]</f>
        <v>0</v>
      </c>
      <c r="HF6" s="46">
        <f>Tabela3[[#This Row],[CR_RECEBIDOS]]-Tabela3[[#This Row],[DEDUCOES]]</f>
        <v>64575.65</v>
      </c>
      <c r="HG6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4234.99</v>
      </c>
      <c r="HH6" s="46">
        <f>Tabela3[[#This Row],[RECEBIMENTOS_MENOS_DEDUCOES]]-Tabela3[[#This Row],[CUSTOS]]</f>
        <v>60340.66</v>
      </c>
      <c r="HI6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800.79</v>
      </c>
      <c r="HJ6" s="46">
        <f>Tabela3[[#This Row],[RECEBIMENTOS_MENOS_CUSTOS]]-Tabela3[[#This Row],[DESPESAS]]</f>
        <v>59539.87</v>
      </c>
      <c r="HK6" s="46">
        <f>Tabela3[[#This Row],[DEDUCOES]]+Tabela3[[#This Row],[CUSTOS]]+Tabela3[[#This Row],[DESPESAS]]</f>
        <v>5035.78</v>
      </c>
      <c r="HL6" s="47">
        <f>IFERROR(Tabela3[[#This Row],[RECEBIMENTOS_MENOS_DESPESAS]]/Tabela3[[#This Row],[CR_RECEBIDOS]],0)</f>
        <v>0.9220173548388596</v>
      </c>
      <c r="HM6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9415.510000000002</v>
      </c>
      <c r="HN6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3269.0499999999956</v>
      </c>
      <c r="HO6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-1832.9100000000108</v>
      </c>
      <c r="HP6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-2.8751687264165542E-2</v>
      </c>
      <c r="HQ6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63749.65</v>
      </c>
      <c r="HR6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476.7</v>
      </c>
      <c r="HS6" s="41">
        <v>4</v>
      </c>
    </row>
    <row r="7" spans="1:228" ht="15">
      <c r="A7" s="13">
        <v>1</v>
      </c>
      <c r="B7" s="6" t="str">
        <f>VLOOKUP(Tabela3[[#This Row],[COD_LOJA1]],Tabela2[],2,FALSE)</f>
        <v>001 - RIO CLARO</v>
      </c>
      <c r="C7" s="7">
        <f>VLOOKUP(Tabela3[[#This Row],[COD_LOJA1]],Tabela2[],3,FALSE)</f>
        <v>34010</v>
      </c>
      <c r="D7" s="7" t="str">
        <f>VLOOKUP(Tabela3[[#This Row],[COD_LOJA1]],Tabela2[],4,FALSE)</f>
        <v>PROP (1)</v>
      </c>
      <c r="E7" s="6">
        <f>VLOOKUP(Tabela3[[#This Row],[COD_LOJA1]],Tabela2[],5,FALSE)</f>
        <v>1</v>
      </c>
      <c r="F7" s="6" t="e">
        <f ca="1">VLOOKUP(Tabela3[[#This Row],[COD_LOJA1]],Tabela2[],6,FALSE)</f>
        <v>#NAME?</v>
      </c>
      <c r="G7" s="43">
        <f>DATEVALUE(CONCATENATE("01/",Tabela3[[#This Row],[Mes]],"/",Tabela3[[#This Row],[Ano]]))</f>
        <v>38357</v>
      </c>
      <c r="H7" s="13">
        <v>5</v>
      </c>
      <c r="I7" s="13">
        <v>2005</v>
      </c>
      <c r="J7" s="13">
        <v>895</v>
      </c>
      <c r="K7" s="13">
        <v>5299</v>
      </c>
      <c r="L7" s="13">
        <v>399</v>
      </c>
      <c r="M7" s="13">
        <v>6593</v>
      </c>
      <c r="N7" s="13">
        <v>9</v>
      </c>
      <c r="O7" s="13">
        <v>60</v>
      </c>
      <c r="P7" s="13">
        <v>0</v>
      </c>
      <c r="Q7" s="13">
        <v>69</v>
      </c>
      <c r="R7" s="13">
        <v>222</v>
      </c>
      <c r="S7" s="13">
        <v>579</v>
      </c>
      <c r="T7" s="13">
        <v>4</v>
      </c>
      <c r="U7" s="13">
        <v>805</v>
      </c>
      <c r="V7" s="13">
        <v>0</v>
      </c>
      <c r="W7" s="13">
        <v>0</v>
      </c>
      <c r="X7" s="13">
        <v>0</v>
      </c>
      <c r="Y7" s="13">
        <v>0</v>
      </c>
      <c r="Z7" s="13">
        <v>26.7</v>
      </c>
      <c r="AA7" s="13">
        <v>55010.05</v>
      </c>
      <c r="AB7" s="13">
        <v>1137</v>
      </c>
      <c r="AC7" s="13">
        <v>36</v>
      </c>
      <c r="AD7" s="13">
        <v>839</v>
      </c>
      <c r="AE7" s="13">
        <v>110</v>
      </c>
      <c r="AF7" s="13">
        <v>0</v>
      </c>
      <c r="AG7" s="13">
        <v>0</v>
      </c>
      <c r="AH7" s="13">
        <v>62995.26</v>
      </c>
      <c r="AI7" s="13">
        <v>3296</v>
      </c>
      <c r="AJ7" s="13">
        <v>1250.5</v>
      </c>
      <c r="AK7" s="13">
        <v>0</v>
      </c>
      <c r="AL7" s="13">
        <v>0</v>
      </c>
      <c r="AM7" s="13">
        <v>73703.86</v>
      </c>
      <c r="AN7" s="13">
        <v>113.5</v>
      </c>
      <c r="AO7" s="13">
        <v>27.5</v>
      </c>
      <c r="AP7" s="13">
        <v>60713.85</v>
      </c>
      <c r="AQ7" s="13">
        <v>21391.06</v>
      </c>
      <c r="AR7" s="13">
        <v>16.5</v>
      </c>
      <c r="AS7" s="13">
        <v>82121.41</v>
      </c>
      <c r="AT7" s="13">
        <v>48454.23</v>
      </c>
      <c r="AU7" s="13">
        <v>16450.900000000001</v>
      </c>
      <c r="AV7" s="13">
        <v>16.5</v>
      </c>
      <c r="AW7" s="13">
        <v>64921.63</v>
      </c>
      <c r="AX7" s="13">
        <v>6446.55</v>
      </c>
      <c r="AY7" s="13">
        <v>12</v>
      </c>
      <c r="AZ7" s="13">
        <v>72</v>
      </c>
      <c r="BA7" s="13">
        <v>0</v>
      </c>
      <c r="BB7" s="13">
        <v>0</v>
      </c>
      <c r="BC7" s="13">
        <v>379</v>
      </c>
      <c r="BD7" s="13">
        <v>345</v>
      </c>
      <c r="BE7" s="13">
        <v>1</v>
      </c>
      <c r="BF7" s="13">
        <v>725</v>
      </c>
      <c r="BG7" s="13">
        <v>237</v>
      </c>
      <c r="BH7" s="13">
        <v>234</v>
      </c>
      <c r="BI7" s="13">
        <v>1</v>
      </c>
      <c r="BJ7" s="13">
        <v>472</v>
      </c>
      <c r="BK7" s="13">
        <v>9</v>
      </c>
      <c r="BL7" s="13">
        <v>10</v>
      </c>
      <c r="BM7" s="13">
        <v>0</v>
      </c>
      <c r="BN7" s="13">
        <v>19</v>
      </c>
      <c r="BO7" s="13">
        <v>18.88</v>
      </c>
      <c r="BP7" s="13">
        <v>13315.39</v>
      </c>
      <c r="BQ7" s="13">
        <v>6306.16</v>
      </c>
      <c r="BR7" s="13">
        <v>1831.58</v>
      </c>
      <c r="BS7" s="13">
        <v>453.17</v>
      </c>
      <c r="BT7" s="13">
        <v>1522.89</v>
      </c>
      <c r="BU7" s="13">
        <v>755.19</v>
      </c>
      <c r="BV7" s="13">
        <v>1599.16</v>
      </c>
      <c r="BW7" s="13">
        <v>4404.88</v>
      </c>
      <c r="BX7" s="13">
        <v>2011.42</v>
      </c>
      <c r="BY7" s="13">
        <v>0</v>
      </c>
      <c r="BZ7" s="13"/>
      <c r="CA7" s="13"/>
      <c r="CB7" s="13">
        <v>0</v>
      </c>
      <c r="CC7" s="13"/>
      <c r="CD7" s="13"/>
      <c r="CE7" s="13"/>
      <c r="CF7" s="13"/>
      <c r="CG7" s="13"/>
      <c r="CH7" s="13"/>
      <c r="CI7" s="13">
        <v>0</v>
      </c>
      <c r="CJ7" s="13">
        <v>25</v>
      </c>
      <c r="CK7" s="13">
        <v>0</v>
      </c>
      <c r="CL7" s="13">
        <v>13715.56</v>
      </c>
      <c r="CM7" s="13">
        <v>707740.36</v>
      </c>
      <c r="CN7" s="13">
        <v>694751.23</v>
      </c>
      <c r="CO7" s="13">
        <v>707740.36</v>
      </c>
      <c r="CP7" s="13">
        <v>0</v>
      </c>
      <c r="CQ7" s="13">
        <v>0</v>
      </c>
      <c r="CR7" s="13">
        <v>54185.02</v>
      </c>
      <c r="CS7" s="13">
        <v>54185.02</v>
      </c>
      <c r="CT7" s="13">
        <v>733262</v>
      </c>
      <c r="CU7" s="13">
        <v>31512.66</v>
      </c>
      <c r="CV7" s="13"/>
      <c r="CW7" s="13"/>
      <c r="CX7" s="13">
        <v>69600</v>
      </c>
      <c r="CY7" s="13">
        <v>2639.73</v>
      </c>
      <c r="CZ7" s="13">
        <v>2737</v>
      </c>
      <c r="DA7" s="13">
        <v>350.67</v>
      </c>
      <c r="DB7" s="13">
        <v>0</v>
      </c>
      <c r="DC7" s="13">
        <v>0</v>
      </c>
      <c r="DD7" s="13">
        <v>173470</v>
      </c>
      <c r="DE7" s="13">
        <v>8186.64</v>
      </c>
      <c r="DF7" s="13">
        <v>2898</v>
      </c>
      <c r="DG7" s="13">
        <v>305</v>
      </c>
      <c r="DH7" s="13">
        <v>114855</v>
      </c>
      <c r="DI7" s="13">
        <v>1064</v>
      </c>
      <c r="DJ7" s="13">
        <v>22510</v>
      </c>
      <c r="DK7" s="13">
        <v>649</v>
      </c>
      <c r="DL7" s="13"/>
      <c r="DM7" s="13"/>
      <c r="DN7" s="13">
        <v>42278</v>
      </c>
      <c r="DO7" s="13">
        <v>2232</v>
      </c>
      <c r="DP7" s="13"/>
      <c r="DQ7" s="13"/>
      <c r="DR7" s="13">
        <v>6895</v>
      </c>
      <c r="DS7" s="13">
        <v>420.5</v>
      </c>
      <c r="DT7" s="13">
        <v>0</v>
      </c>
      <c r="DU7" s="13">
        <v>0</v>
      </c>
      <c r="DV7" s="13">
        <v>88</v>
      </c>
      <c r="DW7" s="13">
        <v>0</v>
      </c>
      <c r="DX7" s="13">
        <v>28110</v>
      </c>
      <c r="DY7" s="13">
        <v>3009.91</v>
      </c>
      <c r="DZ7" s="13"/>
      <c r="EA7" s="13"/>
      <c r="EB7" s="13">
        <v>919</v>
      </c>
      <c r="EC7" s="13">
        <v>0</v>
      </c>
      <c r="ED7" s="13"/>
      <c r="EE7" s="13"/>
      <c r="EF7" s="13">
        <v>8370</v>
      </c>
      <c r="EG7" s="13">
        <v>55</v>
      </c>
      <c r="EH7" s="13">
        <v>5012</v>
      </c>
      <c r="EI7" s="13">
        <v>35</v>
      </c>
      <c r="EJ7" s="13">
        <v>8010</v>
      </c>
      <c r="EK7" s="13">
        <v>294.60000000000002</v>
      </c>
      <c r="EL7" s="13">
        <v>3993</v>
      </c>
      <c r="EM7" s="13">
        <v>0</v>
      </c>
      <c r="EN7" s="13">
        <v>3586</v>
      </c>
      <c r="EO7" s="13">
        <v>677.5</v>
      </c>
      <c r="EP7" s="13"/>
      <c r="EQ7" s="13"/>
      <c r="ER7" s="13">
        <v>1274</v>
      </c>
      <c r="ES7" s="13">
        <v>0</v>
      </c>
      <c r="ET7" s="13">
        <v>143686</v>
      </c>
      <c r="EU7" s="13">
        <v>12140.03</v>
      </c>
      <c r="EV7" s="13">
        <v>0</v>
      </c>
      <c r="EW7" s="13">
        <v>0</v>
      </c>
      <c r="EX7" s="13">
        <v>0</v>
      </c>
      <c r="EY7" s="13">
        <v>0</v>
      </c>
      <c r="EZ7" s="13">
        <v>2400</v>
      </c>
      <c r="FA7" s="13">
        <v>46.52</v>
      </c>
      <c r="FB7" s="13">
        <v>0</v>
      </c>
      <c r="FC7" s="13">
        <v>0</v>
      </c>
      <c r="FD7" s="13">
        <v>21725</v>
      </c>
      <c r="FE7" s="13">
        <v>4088.67</v>
      </c>
      <c r="FF7" s="13">
        <v>7800</v>
      </c>
      <c r="FG7" s="13">
        <v>392.67</v>
      </c>
      <c r="FH7" s="13">
        <v>67487.92</v>
      </c>
      <c r="FI7" s="13">
        <v>63282.38</v>
      </c>
      <c r="FJ7" s="13">
        <v>1668.25</v>
      </c>
      <c r="FK7" s="13">
        <v>1334.74</v>
      </c>
      <c r="FL7" s="13">
        <v>92.55</v>
      </c>
      <c r="FM7" s="13">
        <v>1110</v>
      </c>
      <c r="FN7" s="13"/>
      <c r="FO7" s="13">
        <v>163089.64000000001</v>
      </c>
      <c r="FP7" s="13">
        <v>1684.75</v>
      </c>
      <c r="FQ7" s="13">
        <v>2041.83</v>
      </c>
      <c r="FR7" s="13">
        <v>0</v>
      </c>
      <c r="FS7" s="13">
        <v>1104</v>
      </c>
      <c r="FT7" s="13"/>
      <c r="FU7" s="13">
        <v>167920.22</v>
      </c>
      <c r="FV7" s="13">
        <v>4.80861972898756E-2</v>
      </c>
      <c r="FW7" s="13">
        <v>0</v>
      </c>
      <c r="FX7" s="13">
        <v>0</v>
      </c>
      <c r="FY7" s="13">
        <v>7</v>
      </c>
      <c r="FZ7" s="13">
        <v>0</v>
      </c>
      <c r="GA7" s="13">
        <v>55</v>
      </c>
      <c r="GB7" s="13">
        <v>0</v>
      </c>
      <c r="GC7" s="13">
        <v>0</v>
      </c>
      <c r="GD7" s="13">
        <v>0</v>
      </c>
      <c r="GE7" s="13">
        <v>0</v>
      </c>
      <c r="GF7" s="13">
        <v>0</v>
      </c>
      <c r="GG7" s="13">
        <v>0</v>
      </c>
      <c r="GH7" s="13">
        <v>1</v>
      </c>
      <c r="GI7" s="13">
        <v>0</v>
      </c>
      <c r="GJ7" s="13">
        <v>0</v>
      </c>
      <c r="GK7" s="13">
        <v>0</v>
      </c>
      <c r="GL7" s="13">
        <v>0</v>
      </c>
      <c r="GM7" s="13">
        <v>1</v>
      </c>
      <c r="GN7" s="13">
        <v>93.086786206896505</v>
      </c>
      <c r="GO7" s="13">
        <v>0</v>
      </c>
      <c r="GP7" s="13"/>
      <c r="GQ7" s="13">
        <v>2114.9</v>
      </c>
      <c r="GR7" s="13">
        <v>2289.98</v>
      </c>
      <c r="GS7" s="13">
        <v>0</v>
      </c>
      <c r="GT7" s="13">
        <v>0</v>
      </c>
      <c r="GU7" s="13">
        <v>27</v>
      </c>
      <c r="GV7" s="13">
        <v>0</v>
      </c>
      <c r="GW7" s="13">
        <v>-13658.89</v>
      </c>
      <c r="GX7" s="13">
        <v>0</v>
      </c>
      <c r="GY7" s="13">
        <v>68100.100000000006</v>
      </c>
      <c r="GZ7" s="13">
        <v>1403478</v>
      </c>
      <c r="HA7" s="13"/>
      <c r="HB7" s="13"/>
      <c r="HC7" s="13"/>
      <c r="HD7" s="13"/>
      <c r="HE7" s="46">
        <f>Tabela3[[#This Row],[A8-IMPOSTOS E TAXAS]]+Tabela3[[#This Row],[E1-REEMBOLSOS]]</f>
        <v>4404.88</v>
      </c>
      <c r="HF7" s="46">
        <f>Tabela3[[#This Row],[CR_RECEBIDOS]]-Tabela3[[#This Row],[DEDUCOES]]</f>
        <v>60516.75</v>
      </c>
      <c r="HG7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21453.129999999997</v>
      </c>
      <c r="HH7" s="46">
        <f>Tabela3[[#This Row],[RECEBIMENTOS_MENOS_DEDUCOES]]-Tabela3[[#This Row],[CUSTOS]]</f>
        <v>39063.620000000003</v>
      </c>
      <c r="HI7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6341.83</v>
      </c>
      <c r="HJ7" s="46">
        <f>Tabela3[[#This Row],[RECEBIMENTOS_MENOS_CUSTOS]]-Tabela3[[#This Row],[DESPESAS]]</f>
        <v>32721.79</v>
      </c>
      <c r="HK7" s="46">
        <f>Tabela3[[#This Row],[DEDUCOES]]+Tabela3[[#This Row],[CUSTOS]]+Tabela3[[#This Row],[DESPESAS]]</f>
        <v>32199.839999999997</v>
      </c>
      <c r="HL7" s="47">
        <f>IFERROR(Tabela3[[#This Row],[RECEBIMENTOS_MENOS_DESPESAS]]/Tabela3[[#This Row],[CR_RECEBIDOS]],0)</f>
        <v>0.50401984669824218</v>
      </c>
      <c r="HM7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7789.5799999999945</v>
      </c>
      <c r="HN7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3600.1300000000047</v>
      </c>
      <c r="HO7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331.08000000000902</v>
      </c>
      <c r="HP7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5.1398995648598567E-3</v>
      </c>
      <c r="HQ7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64413.710000000006</v>
      </c>
      <c r="HR7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26.7</v>
      </c>
      <c r="HS7" s="41">
        <v>5</v>
      </c>
    </row>
    <row r="8" spans="1:228" ht="15">
      <c r="A8" s="13">
        <v>1</v>
      </c>
      <c r="B8" s="6" t="str">
        <f>VLOOKUP(Tabela3[[#This Row],[COD_LOJA1]],Tabela2[],2,FALSE)</f>
        <v>001 - RIO CLARO</v>
      </c>
      <c r="C8" s="7">
        <f>VLOOKUP(Tabela3[[#This Row],[COD_LOJA1]],Tabela2[],3,FALSE)</f>
        <v>34010</v>
      </c>
      <c r="D8" s="7" t="str">
        <f>VLOOKUP(Tabela3[[#This Row],[COD_LOJA1]],Tabela2[],4,FALSE)</f>
        <v>PROP (1)</v>
      </c>
      <c r="E8" s="6">
        <f>VLOOKUP(Tabela3[[#This Row],[COD_LOJA1]],Tabela2[],5,FALSE)</f>
        <v>1</v>
      </c>
      <c r="F8" s="6" t="e">
        <f ca="1">VLOOKUP(Tabela3[[#This Row],[COD_LOJA1]],Tabela2[],6,FALSE)</f>
        <v>#NAME?</v>
      </c>
      <c r="G8" s="43">
        <f>DATEVALUE(CONCATENATE("01/",Tabela3[[#This Row],[Mes]],"/",Tabela3[[#This Row],[Ano]]))</f>
        <v>38358</v>
      </c>
      <c r="H8" s="13">
        <v>6</v>
      </c>
      <c r="I8" s="13">
        <v>2005</v>
      </c>
      <c r="J8" s="13">
        <v>910</v>
      </c>
      <c r="K8" s="13">
        <v>5355</v>
      </c>
      <c r="L8" s="13">
        <v>399</v>
      </c>
      <c r="M8" s="13">
        <v>6664</v>
      </c>
      <c r="N8" s="13">
        <v>15</v>
      </c>
      <c r="O8" s="13">
        <v>56</v>
      </c>
      <c r="P8" s="13">
        <v>0</v>
      </c>
      <c r="Q8" s="13">
        <v>71</v>
      </c>
      <c r="R8" s="13">
        <v>248</v>
      </c>
      <c r="S8" s="13">
        <v>664</v>
      </c>
      <c r="T8" s="13">
        <v>4</v>
      </c>
      <c r="U8" s="13">
        <v>916</v>
      </c>
      <c r="V8" s="13">
        <v>0</v>
      </c>
      <c r="W8" s="13">
        <v>0</v>
      </c>
      <c r="X8" s="13">
        <v>0</v>
      </c>
      <c r="Y8" s="13">
        <v>0</v>
      </c>
      <c r="Z8" s="13">
        <v>26.7</v>
      </c>
      <c r="AA8" s="13">
        <v>65489.64</v>
      </c>
      <c r="AB8" s="13">
        <v>853.2</v>
      </c>
      <c r="AC8" s="13">
        <v>90</v>
      </c>
      <c r="AD8" s="13">
        <v>2279.1</v>
      </c>
      <c r="AE8" s="13">
        <v>0</v>
      </c>
      <c r="AF8" s="13">
        <v>0</v>
      </c>
      <c r="AG8" s="13">
        <v>0</v>
      </c>
      <c r="AH8" s="13">
        <v>73703.86</v>
      </c>
      <c r="AI8" s="13">
        <v>2950</v>
      </c>
      <c r="AJ8" s="13">
        <v>888</v>
      </c>
      <c r="AK8" s="13">
        <v>0</v>
      </c>
      <c r="AL8" s="13">
        <v>0</v>
      </c>
      <c r="AM8" s="13">
        <v>69609.47</v>
      </c>
      <c r="AN8" s="13">
        <v>1021.5</v>
      </c>
      <c r="AO8" s="13">
        <v>27.5</v>
      </c>
      <c r="AP8" s="13">
        <v>47348.35</v>
      </c>
      <c r="AQ8" s="13">
        <v>17186.28</v>
      </c>
      <c r="AR8" s="13">
        <v>0</v>
      </c>
      <c r="AS8" s="13">
        <v>64534.63</v>
      </c>
      <c r="AT8" s="13">
        <v>53392.66</v>
      </c>
      <c r="AU8" s="13">
        <v>21783.29</v>
      </c>
      <c r="AV8" s="13">
        <v>0</v>
      </c>
      <c r="AW8" s="13">
        <v>75175.95</v>
      </c>
      <c r="AX8" s="13">
        <v>2299.87</v>
      </c>
      <c r="AY8" s="13">
        <v>17</v>
      </c>
      <c r="AZ8" s="13">
        <v>141</v>
      </c>
      <c r="BA8" s="13">
        <v>0</v>
      </c>
      <c r="BB8" s="13">
        <v>0</v>
      </c>
      <c r="BC8" s="13">
        <v>421</v>
      </c>
      <c r="BD8" s="13">
        <v>325</v>
      </c>
      <c r="BE8" s="13">
        <v>0</v>
      </c>
      <c r="BF8" s="13">
        <v>746</v>
      </c>
      <c r="BG8" s="13">
        <v>262</v>
      </c>
      <c r="BH8" s="13">
        <v>226</v>
      </c>
      <c r="BI8" s="13">
        <v>0</v>
      </c>
      <c r="BJ8" s="13">
        <v>488</v>
      </c>
      <c r="BK8" s="13">
        <v>17</v>
      </c>
      <c r="BL8" s="13">
        <v>4</v>
      </c>
      <c r="BM8" s="13">
        <v>0</v>
      </c>
      <c r="BN8" s="13">
        <v>21</v>
      </c>
      <c r="BO8" s="13">
        <v>19.52</v>
      </c>
      <c r="BP8" s="13">
        <v>406.1</v>
      </c>
      <c r="BQ8" s="13">
        <v>1374</v>
      </c>
      <c r="BR8" s="13">
        <v>1316.88</v>
      </c>
      <c r="BS8" s="13">
        <v>835.7</v>
      </c>
      <c r="BT8" s="13">
        <v>15</v>
      </c>
      <c r="BU8" s="13">
        <v>0</v>
      </c>
      <c r="BV8" s="13">
        <v>1416.17</v>
      </c>
      <c r="BW8" s="13">
        <v>0</v>
      </c>
      <c r="BX8" s="13">
        <v>24.1</v>
      </c>
      <c r="BY8" s="13">
        <v>4</v>
      </c>
      <c r="BZ8" s="13"/>
      <c r="CA8" s="13"/>
      <c r="CB8" s="13">
        <v>0</v>
      </c>
      <c r="CC8" s="13"/>
      <c r="CD8" s="13"/>
      <c r="CE8" s="13"/>
      <c r="CF8" s="13"/>
      <c r="CG8" s="13"/>
      <c r="CH8" s="13"/>
      <c r="CI8" s="13">
        <v>0</v>
      </c>
      <c r="CJ8" s="13">
        <v>25</v>
      </c>
      <c r="CK8" s="13">
        <v>0</v>
      </c>
      <c r="CL8" s="13">
        <v>0</v>
      </c>
      <c r="CM8" s="13">
        <v>708400.36</v>
      </c>
      <c r="CN8" s="13">
        <v>707271.23</v>
      </c>
      <c r="CO8" s="13">
        <v>708400.36</v>
      </c>
      <c r="CP8" s="13">
        <v>0</v>
      </c>
      <c r="CQ8" s="13">
        <v>0</v>
      </c>
      <c r="CR8" s="13">
        <v>54185.02</v>
      </c>
      <c r="CS8" s="13">
        <v>54185.02</v>
      </c>
      <c r="CT8" s="13">
        <v>733262</v>
      </c>
      <c r="CU8" s="13">
        <v>16848.07</v>
      </c>
      <c r="CV8" s="13"/>
      <c r="CW8" s="13"/>
      <c r="CX8" s="13">
        <v>69600</v>
      </c>
      <c r="CY8" s="13">
        <v>2581.7600000000002</v>
      </c>
      <c r="CZ8" s="13">
        <v>2737</v>
      </c>
      <c r="DA8" s="13">
        <v>128.57</v>
      </c>
      <c r="DB8" s="13">
        <v>0</v>
      </c>
      <c r="DC8" s="13">
        <v>0</v>
      </c>
      <c r="DD8" s="13">
        <v>173470</v>
      </c>
      <c r="DE8" s="13">
        <v>10177.14</v>
      </c>
      <c r="DF8" s="13">
        <v>2898</v>
      </c>
      <c r="DG8" s="13">
        <v>210</v>
      </c>
      <c r="DH8" s="13">
        <v>114855</v>
      </c>
      <c r="DI8" s="13">
        <v>982.87</v>
      </c>
      <c r="DJ8" s="13">
        <v>22510</v>
      </c>
      <c r="DK8" s="13">
        <v>990</v>
      </c>
      <c r="DL8" s="13"/>
      <c r="DM8" s="13"/>
      <c r="DN8" s="13">
        <v>42278</v>
      </c>
      <c r="DO8" s="13">
        <v>3297.87</v>
      </c>
      <c r="DP8" s="13"/>
      <c r="DQ8" s="13"/>
      <c r="DR8" s="13">
        <v>6895</v>
      </c>
      <c r="DS8" s="13">
        <v>489</v>
      </c>
      <c r="DT8" s="13">
        <v>0</v>
      </c>
      <c r="DU8" s="13">
        <v>0</v>
      </c>
      <c r="DV8" s="13">
        <v>88</v>
      </c>
      <c r="DW8" s="13">
        <v>0</v>
      </c>
      <c r="DX8" s="13">
        <v>28110</v>
      </c>
      <c r="DY8" s="13">
        <v>3046.48</v>
      </c>
      <c r="DZ8" s="13"/>
      <c r="EA8" s="13"/>
      <c r="EB8" s="13">
        <v>919</v>
      </c>
      <c r="EC8" s="13">
        <v>0</v>
      </c>
      <c r="ED8" s="13"/>
      <c r="EE8" s="13"/>
      <c r="EF8" s="13">
        <v>8370</v>
      </c>
      <c r="EG8" s="13">
        <v>500</v>
      </c>
      <c r="EH8" s="13">
        <v>5012</v>
      </c>
      <c r="EI8" s="13">
        <v>0</v>
      </c>
      <c r="EJ8" s="13">
        <v>8010</v>
      </c>
      <c r="EK8" s="13">
        <v>545</v>
      </c>
      <c r="EL8" s="13">
        <v>3993</v>
      </c>
      <c r="EM8" s="13">
        <v>0</v>
      </c>
      <c r="EN8" s="13">
        <v>3586</v>
      </c>
      <c r="EO8" s="13">
        <v>486.08</v>
      </c>
      <c r="EP8" s="13"/>
      <c r="EQ8" s="13"/>
      <c r="ER8" s="13">
        <v>1274</v>
      </c>
      <c r="ES8" s="13">
        <v>0</v>
      </c>
      <c r="ET8" s="13">
        <v>143686</v>
      </c>
      <c r="EU8" s="13">
        <v>13182.72</v>
      </c>
      <c r="EV8" s="13">
        <v>0</v>
      </c>
      <c r="EW8" s="13">
        <v>0</v>
      </c>
      <c r="EX8" s="13">
        <v>0</v>
      </c>
      <c r="EY8" s="13">
        <v>0</v>
      </c>
      <c r="EZ8" s="13">
        <v>2400</v>
      </c>
      <c r="FA8" s="13">
        <v>118.61</v>
      </c>
      <c r="FB8" s="13">
        <v>0</v>
      </c>
      <c r="FC8" s="13">
        <v>0</v>
      </c>
      <c r="FD8" s="13">
        <v>21725</v>
      </c>
      <c r="FE8" s="13">
        <v>2460.17</v>
      </c>
      <c r="FF8" s="13">
        <v>7800</v>
      </c>
      <c r="FG8" s="13">
        <v>-337</v>
      </c>
      <c r="FH8" s="13">
        <v>67935.14</v>
      </c>
      <c r="FI8" s="13">
        <v>64276.55</v>
      </c>
      <c r="FJ8" s="13">
        <v>1635</v>
      </c>
      <c r="FK8" s="13">
        <v>1526.25</v>
      </c>
      <c r="FL8" s="13">
        <v>124.34</v>
      </c>
      <c r="FM8" s="13">
        <v>373</v>
      </c>
      <c r="FN8" s="13"/>
      <c r="FO8" s="13">
        <v>163884.37</v>
      </c>
      <c r="FP8" s="13">
        <v>1650</v>
      </c>
      <c r="FQ8" s="13">
        <v>4165.5</v>
      </c>
      <c r="FR8" s="13">
        <v>1014.64</v>
      </c>
      <c r="FS8" s="13">
        <v>373</v>
      </c>
      <c r="FT8" s="13"/>
      <c r="FU8" s="13">
        <v>171087.51</v>
      </c>
      <c r="FV8" s="13">
        <v>4.8404848526303897E-2</v>
      </c>
      <c r="FW8" s="13">
        <v>0</v>
      </c>
      <c r="FX8" s="13">
        <v>0</v>
      </c>
      <c r="FY8" s="13">
        <v>7</v>
      </c>
      <c r="FZ8" s="13">
        <v>0</v>
      </c>
      <c r="GA8" s="13">
        <v>49</v>
      </c>
      <c r="GB8" s="13">
        <v>1</v>
      </c>
      <c r="GC8" s="13">
        <v>0</v>
      </c>
      <c r="GD8" s="13">
        <v>0</v>
      </c>
      <c r="GE8" s="13">
        <v>0</v>
      </c>
      <c r="GF8" s="13">
        <v>0</v>
      </c>
      <c r="GG8" s="13">
        <v>0</v>
      </c>
      <c r="GH8" s="13">
        <v>0</v>
      </c>
      <c r="GI8" s="13">
        <v>0</v>
      </c>
      <c r="GJ8" s="13">
        <v>0</v>
      </c>
      <c r="GK8" s="13">
        <v>0</v>
      </c>
      <c r="GL8" s="13">
        <v>0</v>
      </c>
      <c r="GM8" s="13">
        <v>4</v>
      </c>
      <c r="GN8" s="13">
        <v>91.065871313672901</v>
      </c>
      <c r="GO8" s="13">
        <v>0</v>
      </c>
      <c r="GP8" s="13"/>
      <c r="GQ8" s="13">
        <v>0</v>
      </c>
      <c r="GR8" s="13">
        <v>0</v>
      </c>
      <c r="GS8" s="13">
        <v>0</v>
      </c>
      <c r="GT8" s="13">
        <v>0</v>
      </c>
      <c r="GU8" s="13">
        <v>28</v>
      </c>
      <c r="GV8" s="13">
        <v>0</v>
      </c>
      <c r="GW8" s="13">
        <v>-16495.84</v>
      </c>
      <c r="GX8" s="13">
        <v>0</v>
      </c>
      <c r="GY8" s="13">
        <v>55707.34</v>
      </c>
      <c r="GZ8" s="13">
        <v>1403478</v>
      </c>
      <c r="HA8" s="13"/>
      <c r="HB8" s="13"/>
      <c r="HC8" s="13"/>
      <c r="HD8" s="13"/>
      <c r="HE8" s="46">
        <f>Tabela3[[#This Row],[A8-IMPOSTOS E TAXAS]]+Tabela3[[#This Row],[E1-REEMBOLSOS]]</f>
        <v>0</v>
      </c>
      <c r="HF8" s="46">
        <f>Tabela3[[#This Row],[CR_RECEBIDOS]]-Tabela3[[#This Row],[DEDUCOES]]</f>
        <v>75175.95</v>
      </c>
      <c r="HG8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3096.98</v>
      </c>
      <c r="HH8" s="46">
        <f>Tabela3[[#This Row],[RECEBIMENTOS_MENOS_DEDUCOES]]-Tabela3[[#This Row],[CUSTOS]]</f>
        <v>72078.97</v>
      </c>
      <c r="HI8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2294.9700000000003</v>
      </c>
      <c r="HJ8" s="46">
        <f>Tabela3[[#This Row],[RECEBIMENTOS_MENOS_CUSTOS]]-Tabela3[[#This Row],[DESPESAS]]</f>
        <v>69784</v>
      </c>
      <c r="HK8" s="46">
        <f>Tabela3[[#This Row],[DEDUCOES]]+Tabela3[[#This Row],[CUSTOS]]+Tabela3[[#This Row],[DESPESAS]]</f>
        <v>5391.9500000000007</v>
      </c>
      <c r="HL8" s="47">
        <f>IFERROR(Tabela3[[#This Row],[RECEBIMENTOS_MENOS_DESPESAS]]/Tabela3[[#This Row],[CR_RECEBIDOS]],0)</f>
        <v>0.92827559877859878</v>
      </c>
      <c r="HM8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6464.0099999999966</v>
      </c>
      <c r="HN8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5694.0100000000066</v>
      </c>
      <c r="HO8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2093.8800000000019</v>
      </c>
      <c r="HP8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2.7921851140801032E-2</v>
      </c>
      <c r="HQ8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74990.73</v>
      </c>
      <c r="HR8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26.7</v>
      </c>
      <c r="HS8" s="41">
        <v>6</v>
      </c>
    </row>
    <row r="9" spans="1:228" ht="15">
      <c r="A9" s="13">
        <v>1</v>
      </c>
      <c r="B9" s="6" t="str">
        <f>VLOOKUP(Tabela3[[#This Row],[COD_LOJA1]],Tabela2[],2,FALSE)</f>
        <v>001 - RIO CLARO</v>
      </c>
      <c r="C9" s="7">
        <f>VLOOKUP(Tabela3[[#This Row],[COD_LOJA1]],Tabela2[],3,FALSE)</f>
        <v>34010</v>
      </c>
      <c r="D9" s="7" t="str">
        <f>VLOOKUP(Tabela3[[#This Row],[COD_LOJA1]],Tabela2[],4,FALSE)</f>
        <v>PROP (1)</v>
      </c>
      <c r="E9" s="6">
        <f>VLOOKUP(Tabela3[[#This Row],[COD_LOJA1]],Tabela2[],5,FALSE)</f>
        <v>1</v>
      </c>
      <c r="F9" s="6" t="e">
        <f ca="1">VLOOKUP(Tabela3[[#This Row],[COD_LOJA1]],Tabela2[],6,FALSE)</f>
        <v>#NAME?</v>
      </c>
      <c r="G9" s="43">
        <f>DATEVALUE(CONCATENATE("01/",Tabela3[[#This Row],[Mes]],"/",Tabela3[[#This Row],[Ano]]))</f>
        <v>38359</v>
      </c>
      <c r="H9" s="13">
        <v>7</v>
      </c>
      <c r="I9" s="13">
        <v>2005</v>
      </c>
      <c r="J9" s="13">
        <v>930</v>
      </c>
      <c r="K9" s="13">
        <v>5418</v>
      </c>
      <c r="L9" s="13">
        <v>399</v>
      </c>
      <c r="M9" s="13">
        <v>6747</v>
      </c>
      <c r="N9" s="13">
        <v>20</v>
      </c>
      <c r="O9" s="13">
        <v>63</v>
      </c>
      <c r="P9" s="13">
        <v>0</v>
      </c>
      <c r="Q9" s="13">
        <v>83</v>
      </c>
      <c r="R9" s="13">
        <v>270</v>
      </c>
      <c r="S9" s="13">
        <v>743</v>
      </c>
      <c r="T9" s="13">
        <v>4</v>
      </c>
      <c r="U9" s="13">
        <v>1017</v>
      </c>
      <c r="V9" s="13">
        <v>0</v>
      </c>
      <c r="W9" s="13">
        <v>0</v>
      </c>
      <c r="X9" s="13">
        <v>0</v>
      </c>
      <c r="Y9" s="13">
        <v>0</v>
      </c>
      <c r="Z9" s="13">
        <v>26.7</v>
      </c>
      <c r="AA9" s="13">
        <v>59721.14</v>
      </c>
      <c r="AB9" s="13">
        <v>729.64</v>
      </c>
      <c r="AC9" s="13">
        <v>530</v>
      </c>
      <c r="AD9" s="13">
        <v>1030</v>
      </c>
      <c r="AE9" s="13">
        <v>151</v>
      </c>
      <c r="AF9" s="13">
        <v>0</v>
      </c>
      <c r="AG9" s="13">
        <v>0</v>
      </c>
      <c r="AH9" s="13">
        <v>69609.47</v>
      </c>
      <c r="AI9" s="13">
        <v>5277.11</v>
      </c>
      <c r="AJ9" s="13">
        <v>1258</v>
      </c>
      <c r="AK9" s="13">
        <v>0</v>
      </c>
      <c r="AL9" s="13">
        <v>0</v>
      </c>
      <c r="AM9" s="13">
        <v>76189.789999999994</v>
      </c>
      <c r="AN9" s="13">
        <v>541</v>
      </c>
      <c r="AO9" s="13">
        <v>136</v>
      </c>
      <c r="AP9" s="13">
        <v>55946.82</v>
      </c>
      <c r="AQ9" s="13">
        <v>20795.78</v>
      </c>
      <c r="AR9" s="13">
        <v>80</v>
      </c>
      <c r="AS9" s="13">
        <v>76822.600000000006</v>
      </c>
      <c r="AT9" s="13">
        <v>49390.53</v>
      </c>
      <c r="AU9" s="13">
        <v>16002.53</v>
      </c>
      <c r="AV9" s="13">
        <v>80</v>
      </c>
      <c r="AW9" s="13">
        <v>65473.06</v>
      </c>
      <c r="AX9" s="13">
        <v>2161.3200000000002</v>
      </c>
      <c r="AY9" s="13">
        <v>17</v>
      </c>
      <c r="AZ9" s="13">
        <v>36</v>
      </c>
      <c r="BA9" s="13">
        <v>0</v>
      </c>
      <c r="BB9" s="13">
        <v>0</v>
      </c>
      <c r="BC9" s="13">
        <v>408</v>
      </c>
      <c r="BD9" s="13">
        <v>349</v>
      </c>
      <c r="BE9" s="13">
        <v>1</v>
      </c>
      <c r="BF9" s="13">
        <v>758</v>
      </c>
      <c r="BG9" s="13">
        <v>248</v>
      </c>
      <c r="BH9" s="13">
        <v>264</v>
      </c>
      <c r="BI9" s="13">
        <v>1</v>
      </c>
      <c r="BJ9" s="13">
        <v>513</v>
      </c>
      <c r="BK9" s="13">
        <v>6</v>
      </c>
      <c r="BL9" s="13">
        <v>3</v>
      </c>
      <c r="BM9" s="13">
        <v>0</v>
      </c>
      <c r="BN9" s="13">
        <v>9</v>
      </c>
      <c r="BO9" s="13">
        <v>20.52</v>
      </c>
      <c r="BP9" s="13">
        <v>11678.173000000001</v>
      </c>
      <c r="BQ9" s="13">
        <v>5692.0420000000004</v>
      </c>
      <c r="BR9" s="13">
        <v>1931.22</v>
      </c>
      <c r="BS9" s="13">
        <v>1388.18</v>
      </c>
      <c r="BT9" s="13">
        <v>643.67999999999995</v>
      </c>
      <c r="BU9" s="13">
        <v>876.19</v>
      </c>
      <c r="BV9" s="13">
        <v>1456.6</v>
      </c>
      <c r="BW9" s="13">
        <v>4408.8100000000004</v>
      </c>
      <c r="BX9" s="13">
        <v>396.5</v>
      </c>
      <c r="BY9" s="13">
        <v>0</v>
      </c>
      <c r="BZ9" s="13"/>
      <c r="CA9" s="13"/>
      <c r="CB9" s="13">
        <v>0</v>
      </c>
      <c r="CC9" s="13"/>
      <c r="CD9" s="13"/>
      <c r="CE9" s="13"/>
      <c r="CF9" s="13"/>
      <c r="CG9" s="13"/>
      <c r="CH9" s="13"/>
      <c r="CI9" s="13">
        <v>0</v>
      </c>
      <c r="CJ9" s="13">
        <v>25</v>
      </c>
      <c r="CK9" s="13">
        <v>0</v>
      </c>
      <c r="CL9" s="13">
        <v>12447.42</v>
      </c>
      <c r="CM9" s="13">
        <v>705956.36</v>
      </c>
      <c r="CN9" s="13">
        <v>706236.23</v>
      </c>
      <c r="CO9" s="13">
        <v>705956.36</v>
      </c>
      <c r="CP9" s="13">
        <v>0</v>
      </c>
      <c r="CQ9" s="13">
        <v>0</v>
      </c>
      <c r="CR9" s="13">
        <v>54185.02</v>
      </c>
      <c r="CS9" s="13">
        <v>54185.02</v>
      </c>
      <c r="CT9" s="13">
        <v>733262</v>
      </c>
      <c r="CU9" s="13">
        <v>24818.46</v>
      </c>
      <c r="CV9" s="13"/>
      <c r="CW9" s="13"/>
      <c r="CX9" s="13">
        <v>72200</v>
      </c>
      <c r="CY9" s="13">
        <v>4097.42</v>
      </c>
      <c r="CZ9" s="13">
        <v>2737</v>
      </c>
      <c r="DA9" s="13">
        <v>234.21</v>
      </c>
      <c r="DB9" s="13">
        <v>0</v>
      </c>
      <c r="DC9" s="13">
        <v>0</v>
      </c>
      <c r="DD9" s="13">
        <v>182102</v>
      </c>
      <c r="DE9" s="13">
        <v>10072.84</v>
      </c>
      <c r="DF9" s="13">
        <v>2898</v>
      </c>
      <c r="DG9" s="13">
        <v>670</v>
      </c>
      <c r="DH9" s="13">
        <v>114855</v>
      </c>
      <c r="DI9" s="13">
        <v>0</v>
      </c>
      <c r="DJ9" s="13">
        <v>22510</v>
      </c>
      <c r="DK9" s="13">
        <v>880</v>
      </c>
      <c r="DL9" s="13"/>
      <c r="DM9" s="13"/>
      <c r="DN9" s="13">
        <v>42278</v>
      </c>
      <c r="DO9" s="13">
        <v>3608.58</v>
      </c>
      <c r="DP9" s="13"/>
      <c r="DQ9" s="13"/>
      <c r="DR9" s="13">
        <v>7853</v>
      </c>
      <c r="DS9" s="13">
        <v>734.65</v>
      </c>
      <c r="DT9" s="13">
        <v>0</v>
      </c>
      <c r="DU9" s="13">
        <v>0</v>
      </c>
      <c r="DV9" s="13">
        <v>88</v>
      </c>
      <c r="DW9" s="13">
        <v>0</v>
      </c>
      <c r="DX9" s="13">
        <v>28769</v>
      </c>
      <c r="DY9" s="13">
        <v>2456.67</v>
      </c>
      <c r="DZ9" s="13"/>
      <c r="EA9" s="13"/>
      <c r="EB9" s="13">
        <v>919</v>
      </c>
      <c r="EC9" s="13">
        <v>0</v>
      </c>
      <c r="ED9" s="13"/>
      <c r="EE9" s="13"/>
      <c r="EF9" s="13">
        <v>8370</v>
      </c>
      <c r="EG9" s="13">
        <v>623.78</v>
      </c>
      <c r="EH9" s="13">
        <v>5012</v>
      </c>
      <c r="EI9" s="13">
        <v>0</v>
      </c>
      <c r="EJ9" s="13">
        <v>8010</v>
      </c>
      <c r="EK9" s="13">
        <v>600</v>
      </c>
      <c r="EL9" s="13">
        <v>3993</v>
      </c>
      <c r="EM9" s="13">
        <v>80</v>
      </c>
      <c r="EN9" s="13">
        <v>3586</v>
      </c>
      <c r="EO9" s="13">
        <v>595.46</v>
      </c>
      <c r="EP9" s="13"/>
      <c r="EQ9" s="13"/>
      <c r="ER9" s="13">
        <v>1274</v>
      </c>
      <c r="ES9" s="13">
        <v>0</v>
      </c>
      <c r="ET9" s="13">
        <v>143686</v>
      </c>
      <c r="EU9" s="13">
        <v>11762.63</v>
      </c>
      <c r="EV9" s="13">
        <v>0</v>
      </c>
      <c r="EW9" s="13">
        <v>0</v>
      </c>
      <c r="EX9" s="13">
        <v>0</v>
      </c>
      <c r="EY9" s="13">
        <v>0</v>
      </c>
      <c r="EZ9" s="13">
        <v>2880</v>
      </c>
      <c r="FA9" s="13">
        <v>122.83</v>
      </c>
      <c r="FB9" s="13">
        <v>0</v>
      </c>
      <c r="FC9" s="13">
        <v>0</v>
      </c>
      <c r="FD9" s="13">
        <v>21725</v>
      </c>
      <c r="FE9" s="13">
        <v>3101.33</v>
      </c>
      <c r="FF9" s="13">
        <v>7800</v>
      </c>
      <c r="FG9" s="13">
        <v>298.57</v>
      </c>
      <c r="FH9" s="13">
        <v>88892.35</v>
      </c>
      <c r="FI9" s="13">
        <v>83610.600000000006</v>
      </c>
      <c r="FJ9" s="13">
        <v>2510</v>
      </c>
      <c r="FK9" s="13">
        <v>1598.75</v>
      </c>
      <c r="FL9" s="13">
        <v>537</v>
      </c>
      <c r="FM9" s="13">
        <v>636</v>
      </c>
      <c r="FN9" s="13"/>
      <c r="FO9" s="13">
        <v>169362.8</v>
      </c>
      <c r="FP9" s="13">
        <v>2525</v>
      </c>
      <c r="FQ9" s="13">
        <v>3843.23</v>
      </c>
      <c r="FR9" s="13">
        <v>168.85</v>
      </c>
      <c r="FS9" s="13">
        <v>636</v>
      </c>
      <c r="FT9" s="13"/>
      <c r="FU9" s="13">
        <v>176535.88</v>
      </c>
      <c r="FV9" s="13">
        <v>6.2741326094521002E-2</v>
      </c>
      <c r="FW9" s="13">
        <v>0</v>
      </c>
      <c r="FX9" s="13">
        <v>0</v>
      </c>
      <c r="FY9" s="13">
        <v>10</v>
      </c>
      <c r="FZ9" s="13">
        <v>0</v>
      </c>
      <c r="GA9" s="13">
        <v>51</v>
      </c>
      <c r="GB9" s="13">
        <v>0</v>
      </c>
      <c r="GC9" s="13">
        <v>1</v>
      </c>
      <c r="GD9" s="13">
        <v>0</v>
      </c>
      <c r="GE9" s="13">
        <v>0</v>
      </c>
      <c r="GF9" s="13">
        <v>0</v>
      </c>
      <c r="GG9" s="13">
        <v>0</v>
      </c>
      <c r="GH9" s="13">
        <v>0</v>
      </c>
      <c r="GI9" s="13">
        <v>0</v>
      </c>
      <c r="GJ9" s="13">
        <v>0</v>
      </c>
      <c r="GK9" s="13">
        <v>0</v>
      </c>
      <c r="GL9" s="13">
        <v>0</v>
      </c>
      <c r="GM9" s="13">
        <v>0</v>
      </c>
      <c r="GN9" s="13">
        <v>117.27222955145101</v>
      </c>
      <c r="GO9" s="13">
        <v>0</v>
      </c>
      <c r="GP9" s="13"/>
      <c r="GQ9" s="13">
        <v>2388.8200000000002</v>
      </c>
      <c r="GR9" s="13">
        <v>2019.99</v>
      </c>
      <c r="GS9" s="13">
        <v>0</v>
      </c>
      <c r="GT9" s="13">
        <v>0</v>
      </c>
      <c r="GU9" s="13">
        <v>69</v>
      </c>
      <c r="GV9" s="13">
        <v>0</v>
      </c>
      <c r="GW9" s="13">
        <v>-16866.63</v>
      </c>
      <c r="GX9" s="13">
        <v>0</v>
      </c>
      <c r="GY9" s="13">
        <v>64757.43</v>
      </c>
      <c r="GZ9" s="13">
        <v>1416807</v>
      </c>
      <c r="HA9" s="13"/>
      <c r="HB9" s="13"/>
      <c r="HC9" s="13"/>
      <c r="HD9" s="13"/>
      <c r="HE9" s="46">
        <f>Tabela3[[#This Row],[A8-IMPOSTOS E TAXAS]]+Tabela3[[#This Row],[E1-REEMBOLSOS]]</f>
        <v>4408.8100000000004</v>
      </c>
      <c r="HF9" s="46">
        <f>Tabela3[[#This Row],[CR_RECEBIDOS]]-Tabela3[[#This Row],[DEDUCOES]]</f>
        <v>61064.25</v>
      </c>
      <c r="HG9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19301.435000000001</v>
      </c>
      <c r="HH9" s="46">
        <f>Tabela3[[#This Row],[RECEBIMENTOS_MENOS_DEDUCOES]]-Tabela3[[#This Row],[CUSTOS]]</f>
        <v>41762.815000000002</v>
      </c>
      <c r="HI9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4761.1499999999996</v>
      </c>
      <c r="HJ9" s="46">
        <f>Tabela3[[#This Row],[RECEBIMENTOS_MENOS_CUSTOS]]-Tabela3[[#This Row],[DESPESAS]]</f>
        <v>37001.665000000001</v>
      </c>
      <c r="HK9" s="46">
        <f>Tabela3[[#This Row],[DEDUCOES]]+Tabela3[[#This Row],[CUSTOS]]+Tabela3[[#This Row],[DESPESAS]]</f>
        <v>28471.395000000004</v>
      </c>
      <c r="HL9" s="47">
        <f>IFERROR(Tabela3[[#This Row],[RECEBIMENTOS_MENOS_DESPESAS]]/Tabela3[[#This Row],[CR_RECEBIDOS]],0)</f>
        <v>0.56514335819954042</v>
      </c>
      <c r="HM9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3311.2799999999979</v>
      </c>
      <c r="HN9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12378.520000000004</v>
      </c>
      <c r="HO9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6684.5099999999975</v>
      </c>
      <c r="HP9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9.3979170102394871E-2</v>
      </c>
      <c r="HQ9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71127.569999999992</v>
      </c>
      <c r="HR9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26.7</v>
      </c>
      <c r="HS9" s="41">
        <v>7</v>
      </c>
    </row>
    <row r="10" spans="1:228" ht="15">
      <c r="A10" s="13">
        <v>1</v>
      </c>
      <c r="B10" s="6" t="str">
        <f>VLOOKUP(Tabela3[[#This Row],[COD_LOJA1]],Tabela2[],2,FALSE)</f>
        <v>001 - RIO CLARO</v>
      </c>
      <c r="C10" s="7">
        <f>VLOOKUP(Tabela3[[#This Row],[COD_LOJA1]],Tabela2[],3,FALSE)</f>
        <v>34010</v>
      </c>
      <c r="D10" s="7" t="str">
        <f>VLOOKUP(Tabela3[[#This Row],[COD_LOJA1]],Tabela2[],4,FALSE)</f>
        <v>PROP (1)</v>
      </c>
      <c r="E10" s="6">
        <f>VLOOKUP(Tabela3[[#This Row],[COD_LOJA1]],Tabela2[],5,FALSE)</f>
        <v>1</v>
      </c>
      <c r="F10" s="6" t="e">
        <f ca="1">VLOOKUP(Tabela3[[#This Row],[COD_LOJA1]],Tabela2[],6,FALSE)</f>
        <v>#NAME?</v>
      </c>
      <c r="G10" s="43">
        <f>DATEVALUE(CONCATENATE("01/",Tabela3[[#This Row],[Mes]],"/",Tabela3[[#This Row],[Ano]]))</f>
        <v>38360</v>
      </c>
      <c r="H10" s="13">
        <v>8</v>
      </c>
      <c r="I10" s="13">
        <v>2005</v>
      </c>
      <c r="J10" s="13">
        <v>950</v>
      </c>
      <c r="K10" s="13">
        <v>5483</v>
      </c>
      <c r="L10" s="13">
        <v>399</v>
      </c>
      <c r="M10" s="13">
        <v>6832</v>
      </c>
      <c r="N10" s="13">
        <v>20</v>
      </c>
      <c r="O10" s="13">
        <v>65</v>
      </c>
      <c r="P10" s="13">
        <v>0</v>
      </c>
      <c r="Q10" s="13">
        <v>85</v>
      </c>
      <c r="R10" s="13">
        <v>286</v>
      </c>
      <c r="S10" s="13">
        <v>750</v>
      </c>
      <c r="T10" s="13">
        <v>3</v>
      </c>
      <c r="U10" s="13">
        <v>1039</v>
      </c>
      <c r="V10" s="13">
        <v>260.64999999999998</v>
      </c>
      <c r="W10" s="13">
        <v>260.64999999999998</v>
      </c>
      <c r="X10" s="13">
        <v>0</v>
      </c>
      <c r="Y10" s="13">
        <v>0</v>
      </c>
      <c r="Z10" s="13">
        <v>0</v>
      </c>
      <c r="AA10" s="13">
        <v>70448.479999999996</v>
      </c>
      <c r="AB10" s="13">
        <v>766</v>
      </c>
      <c r="AC10" s="13">
        <v>455</v>
      </c>
      <c r="AD10" s="13">
        <v>1905</v>
      </c>
      <c r="AE10" s="13">
        <v>88</v>
      </c>
      <c r="AF10" s="13">
        <v>0</v>
      </c>
      <c r="AG10" s="13">
        <v>0</v>
      </c>
      <c r="AH10" s="13">
        <v>76189.789999999994</v>
      </c>
      <c r="AI10" s="13">
        <v>3542</v>
      </c>
      <c r="AJ10" s="13">
        <v>1401.5</v>
      </c>
      <c r="AK10" s="13">
        <v>0</v>
      </c>
      <c r="AL10" s="13">
        <v>0</v>
      </c>
      <c r="AM10" s="13">
        <v>65815.88</v>
      </c>
      <c r="AN10" s="13">
        <v>387.5</v>
      </c>
      <c r="AO10" s="13">
        <v>217</v>
      </c>
      <c r="AP10" s="13">
        <v>53816.82</v>
      </c>
      <c r="AQ10" s="13">
        <v>22979.16</v>
      </c>
      <c r="AR10" s="13">
        <v>0</v>
      </c>
      <c r="AS10" s="13">
        <v>76795.98</v>
      </c>
      <c r="AT10" s="13">
        <v>58148.51</v>
      </c>
      <c r="AU10" s="13">
        <v>23874.06</v>
      </c>
      <c r="AV10" s="13">
        <v>0</v>
      </c>
      <c r="AW10" s="13">
        <v>82022.570000000007</v>
      </c>
      <c r="AX10" s="13">
        <v>3450.12</v>
      </c>
      <c r="AY10" s="13">
        <v>28</v>
      </c>
      <c r="AZ10" s="13">
        <v>44</v>
      </c>
      <c r="BA10" s="13">
        <v>0</v>
      </c>
      <c r="BB10" s="13">
        <v>0</v>
      </c>
      <c r="BC10" s="13">
        <v>479</v>
      </c>
      <c r="BD10" s="13">
        <v>402</v>
      </c>
      <c r="BE10" s="13">
        <v>0</v>
      </c>
      <c r="BF10" s="13">
        <v>881</v>
      </c>
      <c r="BG10" s="13">
        <v>309</v>
      </c>
      <c r="BH10" s="13">
        <v>288</v>
      </c>
      <c r="BI10" s="13">
        <v>0</v>
      </c>
      <c r="BJ10" s="13">
        <v>597</v>
      </c>
      <c r="BK10" s="13">
        <v>11</v>
      </c>
      <c r="BL10" s="13">
        <v>10</v>
      </c>
      <c r="BM10" s="13">
        <v>0</v>
      </c>
      <c r="BN10" s="13">
        <v>21</v>
      </c>
      <c r="BO10" s="13">
        <v>22.11</v>
      </c>
      <c r="BP10" s="13">
        <v>15624.44</v>
      </c>
      <c r="BQ10" s="13">
        <v>6302.03</v>
      </c>
      <c r="BR10" s="13">
        <v>2336.1999999999998</v>
      </c>
      <c r="BS10" s="13">
        <v>1659.96</v>
      </c>
      <c r="BT10" s="13">
        <v>763</v>
      </c>
      <c r="BU10" s="13">
        <v>1083.7</v>
      </c>
      <c r="BV10" s="13">
        <v>1863.63</v>
      </c>
      <c r="BW10" s="13">
        <v>3245.62</v>
      </c>
      <c r="BX10" s="13">
        <v>1164</v>
      </c>
      <c r="BY10" s="13">
        <v>0</v>
      </c>
      <c r="BZ10" s="13"/>
      <c r="CA10" s="13"/>
      <c r="CB10" s="13">
        <v>0</v>
      </c>
      <c r="CC10" s="13"/>
      <c r="CD10" s="13"/>
      <c r="CE10" s="13"/>
      <c r="CF10" s="13"/>
      <c r="CG10" s="13"/>
      <c r="CH10" s="13"/>
      <c r="CI10" s="13">
        <v>0</v>
      </c>
      <c r="CJ10" s="13">
        <v>27</v>
      </c>
      <c r="CK10" s="13">
        <v>0</v>
      </c>
      <c r="CL10" s="13">
        <v>7091.73</v>
      </c>
      <c r="CM10" s="13">
        <v>733553.36</v>
      </c>
      <c r="CN10" s="13">
        <v>714671.06</v>
      </c>
      <c r="CO10" s="13">
        <v>733553.36</v>
      </c>
      <c r="CP10" s="13">
        <v>0</v>
      </c>
      <c r="CQ10" s="13">
        <v>0</v>
      </c>
      <c r="CR10" s="13">
        <v>54185.02</v>
      </c>
      <c r="CS10" s="13">
        <v>54185.02</v>
      </c>
      <c r="CT10" s="13">
        <v>733262</v>
      </c>
      <c r="CU10" s="13">
        <v>18968.12</v>
      </c>
      <c r="CV10" s="13"/>
      <c r="CW10" s="13"/>
      <c r="CX10" s="13">
        <v>97400</v>
      </c>
      <c r="CY10" s="13">
        <v>4276.3</v>
      </c>
      <c r="CZ10" s="13">
        <v>2737</v>
      </c>
      <c r="DA10" s="13">
        <v>-55</v>
      </c>
      <c r="DB10" s="13">
        <v>0</v>
      </c>
      <c r="DC10" s="13">
        <v>0</v>
      </c>
      <c r="DD10" s="13">
        <v>182102</v>
      </c>
      <c r="DE10" s="13">
        <v>8155.64</v>
      </c>
      <c r="DF10" s="13">
        <v>2898</v>
      </c>
      <c r="DG10" s="13">
        <v>50</v>
      </c>
      <c r="DH10" s="13">
        <v>114855</v>
      </c>
      <c r="DI10" s="13">
        <v>965</v>
      </c>
      <c r="DJ10" s="13">
        <v>22510</v>
      </c>
      <c r="DK10" s="13">
        <v>1323</v>
      </c>
      <c r="DL10" s="13"/>
      <c r="DM10" s="13"/>
      <c r="DN10" s="13">
        <v>42278</v>
      </c>
      <c r="DO10" s="13">
        <v>5045</v>
      </c>
      <c r="DP10" s="13"/>
      <c r="DQ10" s="13"/>
      <c r="DR10" s="13">
        <v>7853</v>
      </c>
      <c r="DS10" s="13">
        <v>570.35</v>
      </c>
      <c r="DT10" s="13">
        <v>0</v>
      </c>
      <c r="DU10" s="13">
        <v>0</v>
      </c>
      <c r="DV10" s="13">
        <v>88</v>
      </c>
      <c r="DW10" s="13">
        <v>0</v>
      </c>
      <c r="DX10" s="13">
        <v>29145</v>
      </c>
      <c r="DY10" s="13">
        <v>3099.26</v>
      </c>
      <c r="DZ10" s="13"/>
      <c r="EA10" s="13"/>
      <c r="EB10" s="13">
        <v>919</v>
      </c>
      <c r="EC10" s="13">
        <v>0</v>
      </c>
      <c r="ED10" s="13"/>
      <c r="EE10" s="13"/>
      <c r="EF10" s="13">
        <v>8370</v>
      </c>
      <c r="EG10" s="13">
        <v>791.67</v>
      </c>
      <c r="EH10" s="13">
        <v>5012</v>
      </c>
      <c r="EI10" s="13">
        <v>0</v>
      </c>
      <c r="EJ10" s="13">
        <v>8010</v>
      </c>
      <c r="EK10" s="13">
        <v>746.33</v>
      </c>
      <c r="EL10" s="13">
        <v>3993</v>
      </c>
      <c r="EM10" s="13">
        <v>246</v>
      </c>
      <c r="EN10" s="13">
        <v>3586</v>
      </c>
      <c r="EO10" s="13">
        <v>-160</v>
      </c>
      <c r="EP10" s="13"/>
      <c r="EQ10" s="13"/>
      <c r="ER10" s="13">
        <v>1274</v>
      </c>
      <c r="ES10" s="13">
        <v>0</v>
      </c>
      <c r="ET10" s="13">
        <v>152866</v>
      </c>
      <c r="EU10" s="13">
        <v>10674.1</v>
      </c>
      <c r="EV10" s="13">
        <v>0</v>
      </c>
      <c r="EW10" s="13">
        <v>0</v>
      </c>
      <c r="EX10" s="13">
        <v>0</v>
      </c>
      <c r="EY10" s="13">
        <v>0</v>
      </c>
      <c r="EZ10" s="13">
        <v>2880</v>
      </c>
      <c r="FA10" s="13">
        <v>29.45</v>
      </c>
      <c r="FB10" s="13">
        <v>0</v>
      </c>
      <c r="FC10" s="13">
        <v>0</v>
      </c>
      <c r="FD10" s="13">
        <v>23765</v>
      </c>
      <c r="FE10" s="13">
        <v>2137.27</v>
      </c>
      <c r="FF10" s="13">
        <v>7800</v>
      </c>
      <c r="FG10" s="13">
        <v>392.67</v>
      </c>
      <c r="FH10" s="13">
        <v>62968.54</v>
      </c>
      <c r="FI10" s="13">
        <v>59505.15</v>
      </c>
      <c r="FJ10" s="13">
        <v>2171</v>
      </c>
      <c r="FK10" s="13">
        <v>25.88</v>
      </c>
      <c r="FL10" s="13">
        <v>860.51</v>
      </c>
      <c r="FM10" s="13">
        <v>406</v>
      </c>
      <c r="FN10" s="13"/>
      <c r="FO10" s="13">
        <v>180086.22</v>
      </c>
      <c r="FP10" s="13">
        <v>2238.5</v>
      </c>
      <c r="FQ10" s="13">
        <v>1107.48</v>
      </c>
      <c r="FR10" s="13">
        <v>90.01</v>
      </c>
      <c r="FS10" s="13">
        <v>406</v>
      </c>
      <c r="FT10" s="13"/>
      <c r="FU10" s="13">
        <v>183928.21</v>
      </c>
      <c r="FV10" s="13">
        <v>4.3318939215177703E-2</v>
      </c>
      <c r="FW10" s="13">
        <v>0</v>
      </c>
      <c r="FX10" s="13">
        <v>0</v>
      </c>
      <c r="FY10" s="13">
        <v>20</v>
      </c>
      <c r="FZ10" s="13">
        <v>0</v>
      </c>
      <c r="GA10" s="13">
        <v>46</v>
      </c>
      <c r="GB10" s="13">
        <v>0</v>
      </c>
      <c r="GC10" s="13">
        <v>0</v>
      </c>
      <c r="GD10" s="13">
        <v>0</v>
      </c>
      <c r="GE10" s="13">
        <v>0</v>
      </c>
      <c r="GF10" s="13">
        <v>1</v>
      </c>
      <c r="GG10" s="13">
        <v>0</v>
      </c>
      <c r="GH10" s="13">
        <v>0</v>
      </c>
      <c r="GI10" s="13">
        <v>0</v>
      </c>
      <c r="GJ10" s="13">
        <v>0</v>
      </c>
      <c r="GK10" s="13">
        <v>0</v>
      </c>
      <c r="GL10" s="13">
        <v>0</v>
      </c>
      <c r="GM10" s="13">
        <v>8</v>
      </c>
      <c r="GN10" s="13">
        <v>71.4739387060159</v>
      </c>
      <c r="GO10" s="13">
        <v>0</v>
      </c>
      <c r="GP10" s="13"/>
      <c r="GQ10" s="13">
        <v>1000</v>
      </c>
      <c r="GR10" s="13">
        <v>2245.62</v>
      </c>
      <c r="GS10" s="13">
        <v>0</v>
      </c>
      <c r="GT10" s="13">
        <v>0</v>
      </c>
      <c r="GU10" s="13">
        <v>38</v>
      </c>
      <c r="GV10" s="13">
        <v>0</v>
      </c>
      <c r="GW10" s="13">
        <v>-26984.9</v>
      </c>
      <c r="GX10" s="13">
        <v>0</v>
      </c>
      <c r="GY10" s="13">
        <v>57255.16</v>
      </c>
      <c r="GZ10" s="13">
        <v>1453603</v>
      </c>
      <c r="HA10" s="13"/>
      <c r="HB10" s="13"/>
      <c r="HC10" s="13"/>
      <c r="HD10" s="13"/>
      <c r="HE10" s="46">
        <f>Tabela3[[#This Row],[A8-IMPOSTOS E TAXAS]]+Tabela3[[#This Row],[E1-REEMBOLSOS]]</f>
        <v>3245.62</v>
      </c>
      <c r="HF10" s="46">
        <f>Tabela3[[#This Row],[CR_RECEBIDOS]]-Tabela3[[#This Row],[DEDUCOES]]</f>
        <v>78776.950000000012</v>
      </c>
      <c r="HG10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24262.670000000002</v>
      </c>
      <c r="HH10" s="46">
        <f>Tabela3[[#This Row],[RECEBIMENTOS_MENOS_DEDUCOES]]-Tabela3[[#This Row],[CUSTOS]]</f>
        <v>54514.280000000013</v>
      </c>
      <c r="HI10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6534.29</v>
      </c>
      <c r="HJ10" s="46">
        <f>Tabela3[[#This Row],[RECEBIMENTOS_MENOS_CUSTOS]]-Tabela3[[#This Row],[DESPESAS]]</f>
        <v>47979.990000000013</v>
      </c>
      <c r="HK10" s="46">
        <f>Tabela3[[#This Row],[DEDUCOES]]+Tabela3[[#This Row],[CUSTOS]]+Tabela3[[#This Row],[DESPESAS]]</f>
        <v>34042.58</v>
      </c>
      <c r="HL10" s="47">
        <f>IFERROR(Tabela3[[#This Row],[RECEBIMENTOS_MENOS_DESPESAS]]/Tabela3[[#This Row],[CR_RECEBIDOS]],0)</f>
        <v>0.58496082236877012</v>
      </c>
      <c r="HM10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8360.0900000000111</v>
      </c>
      <c r="HN10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1620.2199999999866</v>
      </c>
      <c r="HO10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-10758.300000000017</v>
      </c>
      <c r="HP10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-0.13428140668769681</v>
      </c>
      <c r="HQ10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80117.570000000007</v>
      </c>
      <c r="HR10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521.29999999999995</v>
      </c>
      <c r="HS10" s="41">
        <v>8</v>
      </c>
    </row>
    <row r="11" spans="1:228" ht="15">
      <c r="A11" s="13">
        <v>1</v>
      </c>
      <c r="B11" s="6" t="str">
        <f>VLOOKUP(Tabela3[[#This Row],[COD_LOJA1]],Tabela2[],2,FALSE)</f>
        <v>001 - RIO CLARO</v>
      </c>
      <c r="C11" s="7">
        <f>VLOOKUP(Tabela3[[#This Row],[COD_LOJA1]],Tabela2[],3,FALSE)</f>
        <v>34010</v>
      </c>
      <c r="D11" s="7" t="str">
        <f>VLOOKUP(Tabela3[[#This Row],[COD_LOJA1]],Tabela2[],4,FALSE)</f>
        <v>PROP (1)</v>
      </c>
      <c r="E11" s="6">
        <f>VLOOKUP(Tabela3[[#This Row],[COD_LOJA1]],Tabela2[],5,FALSE)</f>
        <v>1</v>
      </c>
      <c r="F11" s="6" t="e">
        <f ca="1">VLOOKUP(Tabela3[[#This Row],[COD_LOJA1]],Tabela2[],6,FALSE)</f>
        <v>#NAME?</v>
      </c>
      <c r="G11" s="43">
        <f>DATEVALUE(CONCATENATE("01/",Tabela3[[#This Row],[Mes]],"/",Tabela3[[#This Row],[Ano]]))</f>
        <v>38361</v>
      </c>
      <c r="H11" s="13">
        <v>9</v>
      </c>
      <c r="I11" s="13">
        <v>2005</v>
      </c>
      <c r="J11" s="13">
        <v>963</v>
      </c>
      <c r="K11" s="13">
        <v>5540</v>
      </c>
      <c r="L11" s="13">
        <v>399</v>
      </c>
      <c r="M11" s="13">
        <v>6902</v>
      </c>
      <c r="N11" s="13">
        <v>13</v>
      </c>
      <c r="O11" s="13">
        <v>57</v>
      </c>
      <c r="P11" s="13">
        <v>0</v>
      </c>
      <c r="Q11" s="13">
        <v>70</v>
      </c>
      <c r="R11" s="13">
        <v>294</v>
      </c>
      <c r="S11" s="13">
        <v>753</v>
      </c>
      <c r="T11" s="13">
        <v>4</v>
      </c>
      <c r="U11" s="13">
        <v>1051</v>
      </c>
      <c r="V11" s="13">
        <v>0</v>
      </c>
      <c r="W11" s="13">
        <v>0</v>
      </c>
      <c r="X11" s="13">
        <v>0</v>
      </c>
      <c r="Y11" s="13">
        <v>0</v>
      </c>
      <c r="Z11" s="13">
        <v>0</v>
      </c>
      <c r="AA11" s="13">
        <v>60569</v>
      </c>
      <c r="AB11" s="13">
        <v>1504.32</v>
      </c>
      <c r="AC11" s="13">
        <v>310</v>
      </c>
      <c r="AD11" s="13">
        <v>2137.5</v>
      </c>
      <c r="AE11" s="13">
        <v>149.49</v>
      </c>
      <c r="AF11" s="13">
        <v>0</v>
      </c>
      <c r="AG11" s="13">
        <v>0</v>
      </c>
      <c r="AH11" s="13">
        <v>65815.88</v>
      </c>
      <c r="AI11" s="13">
        <v>3536.83</v>
      </c>
      <c r="AJ11" s="13">
        <v>875</v>
      </c>
      <c r="AK11" s="13">
        <v>0</v>
      </c>
      <c r="AL11" s="13">
        <v>0</v>
      </c>
      <c r="AM11" s="13">
        <v>66210.649999999994</v>
      </c>
      <c r="AN11" s="13">
        <v>544.5</v>
      </c>
      <c r="AO11" s="13">
        <v>298</v>
      </c>
      <c r="AP11" s="13">
        <v>46535.08</v>
      </c>
      <c r="AQ11" s="13">
        <v>20247.509999999998</v>
      </c>
      <c r="AR11" s="13">
        <v>18</v>
      </c>
      <c r="AS11" s="13">
        <v>66800.59</v>
      </c>
      <c r="AT11" s="13">
        <v>45876.5</v>
      </c>
      <c r="AU11" s="13">
        <v>22562.53</v>
      </c>
      <c r="AV11" s="13">
        <v>18</v>
      </c>
      <c r="AW11" s="13">
        <v>68457.03</v>
      </c>
      <c r="AX11" s="13">
        <v>5973.84</v>
      </c>
      <c r="AY11" s="13">
        <v>41</v>
      </c>
      <c r="AZ11" s="13">
        <v>38</v>
      </c>
      <c r="BA11" s="13">
        <v>0</v>
      </c>
      <c r="BB11" s="13">
        <v>0</v>
      </c>
      <c r="BC11" s="13">
        <v>456</v>
      </c>
      <c r="BD11" s="13">
        <v>387</v>
      </c>
      <c r="BE11" s="13">
        <v>1</v>
      </c>
      <c r="BF11" s="13">
        <v>844</v>
      </c>
      <c r="BG11" s="13">
        <v>266</v>
      </c>
      <c r="BH11" s="13">
        <v>264</v>
      </c>
      <c r="BI11" s="13">
        <v>1</v>
      </c>
      <c r="BJ11" s="13">
        <v>531</v>
      </c>
      <c r="BK11" s="13">
        <v>5</v>
      </c>
      <c r="BL11" s="13">
        <v>4</v>
      </c>
      <c r="BM11" s="13">
        <v>0</v>
      </c>
      <c r="BN11" s="13">
        <v>9</v>
      </c>
      <c r="BO11" s="13">
        <v>21.24</v>
      </c>
      <c r="BP11" s="13">
        <v>12085.51</v>
      </c>
      <c r="BQ11" s="13">
        <v>6940.76</v>
      </c>
      <c r="BR11" s="13">
        <v>2621.09</v>
      </c>
      <c r="BS11" s="13">
        <v>771.8</v>
      </c>
      <c r="BT11" s="13">
        <v>388.85</v>
      </c>
      <c r="BU11" s="13">
        <v>571.15</v>
      </c>
      <c r="BV11" s="13">
        <v>1529.01</v>
      </c>
      <c r="BW11" s="13">
        <v>4291.8599999999997</v>
      </c>
      <c r="BX11" s="13">
        <v>999.18</v>
      </c>
      <c r="BY11" s="13">
        <v>0</v>
      </c>
      <c r="BZ11" s="13"/>
      <c r="CA11" s="13"/>
      <c r="CB11" s="13">
        <v>0</v>
      </c>
      <c r="CC11" s="13"/>
      <c r="CD11" s="13"/>
      <c r="CE11" s="13"/>
      <c r="CF11" s="13"/>
      <c r="CG11" s="13"/>
      <c r="CH11" s="13"/>
      <c r="CI11" s="13">
        <v>0</v>
      </c>
      <c r="CJ11" s="13">
        <v>25</v>
      </c>
      <c r="CK11" s="13">
        <v>0</v>
      </c>
      <c r="CL11" s="13">
        <v>8524.89</v>
      </c>
      <c r="CM11" s="13">
        <v>736807.36</v>
      </c>
      <c r="CN11" s="13">
        <v>816743.91</v>
      </c>
      <c r="CO11" s="13">
        <v>736807.36</v>
      </c>
      <c r="CP11" s="13">
        <v>0</v>
      </c>
      <c r="CQ11" s="13">
        <v>0</v>
      </c>
      <c r="CR11" s="13">
        <v>54185.02</v>
      </c>
      <c r="CS11" s="13">
        <v>54185.02</v>
      </c>
      <c r="CT11" s="13">
        <v>747757</v>
      </c>
      <c r="CU11" s="13">
        <v>17367.45</v>
      </c>
      <c r="CV11" s="13"/>
      <c r="CW11" s="13"/>
      <c r="CX11" s="13">
        <v>97400</v>
      </c>
      <c r="CY11" s="13">
        <v>4831.01</v>
      </c>
      <c r="CZ11" s="13">
        <v>2737</v>
      </c>
      <c r="DA11" s="13">
        <v>280</v>
      </c>
      <c r="DB11" s="13">
        <v>0</v>
      </c>
      <c r="DC11" s="13">
        <v>0</v>
      </c>
      <c r="DD11" s="13">
        <v>182102</v>
      </c>
      <c r="DE11" s="13">
        <v>11723.33</v>
      </c>
      <c r="DF11" s="13">
        <v>2898</v>
      </c>
      <c r="DG11" s="13">
        <v>385</v>
      </c>
      <c r="DH11" s="13">
        <v>114855</v>
      </c>
      <c r="DI11" s="13">
        <v>2153.34</v>
      </c>
      <c r="DJ11" s="13">
        <v>22510</v>
      </c>
      <c r="DK11" s="13">
        <v>1020</v>
      </c>
      <c r="DL11" s="13"/>
      <c r="DM11" s="13"/>
      <c r="DN11" s="13">
        <v>42278</v>
      </c>
      <c r="DO11" s="13">
        <v>4417</v>
      </c>
      <c r="DP11" s="13"/>
      <c r="DQ11" s="13"/>
      <c r="DR11" s="13">
        <v>9473</v>
      </c>
      <c r="DS11" s="13">
        <v>581.57000000000005</v>
      </c>
      <c r="DT11" s="13">
        <v>0</v>
      </c>
      <c r="DU11" s="13">
        <v>0</v>
      </c>
      <c r="DV11" s="13">
        <v>88</v>
      </c>
      <c r="DW11" s="13">
        <v>0</v>
      </c>
      <c r="DX11" s="13">
        <v>31970</v>
      </c>
      <c r="DY11" s="13">
        <v>3345.29</v>
      </c>
      <c r="DZ11" s="13"/>
      <c r="EA11" s="13"/>
      <c r="EB11" s="13">
        <v>919</v>
      </c>
      <c r="EC11" s="13">
        <v>0</v>
      </c>
      <c r="ED11" s="13"/>
      <c r="EE11" s="13"/>
      <c r="EF11" s="13">
        <v>8370</v>
      </c>
      <c r="EG11" s="13">
        <v>1000</v>
      </c>
      <c r="EH11" s="13">
        <v>5012</v>
      </c>
      <c r="EI11" s="13">
        <v>0</v>
      </c>
      <c r="EJ11" s="13">
        <v>8010</v>
      </c>
      <c r="EK11" s="13">
        <v>570</v>
      </c>
      <c r="EL11" s="13">
        <v>3993</v>
      </c>
      <c r="EM11" s="13">
        <v>64</v>
      </c>
      <c r="EN11" s="13">
        <v>3586</v>
      </c>
      <c r="EO11" s="13">
        <v>376.43</v>
      </c>
      <c r="EP11" s="13"/>
      <c r="EQ11" s="13"/>
      <c r="ER11" s="13">
        <v>1274</v>
      </c>
      <c r="ES11" s="13">
        <v>0</v>
      </c>
      <c r="ET11" s="13">
        <v>152866</v>
      </c>
      <c r="EU11" s="13">
        <v>9785</v>
      </c>
      <c r="EV11" s="13">
        <v>0</v>
      </c>
      <c r="EW11" s="13">
        <v>0</v>
      </c>
      <c r="EX11" s="13">
        <v>0</v>
      </c>
      <c r="EY11" s="13">
        <v>0</v>
      </c>
      <c r="EZ11" s="13">
        <v>2880</v>
      </c>
      <c r="FA11" s="13">
        <v>89.95</v>
      </c>
      <c r="FB11" s="13">
        <v>0</v>
      </c>
      <c r="FC11" s="13">
        <v>0</v>
      </c>
      <c r="FD11" s="13">
        <v>23765</v>
      </c>
      <c r="FE11" s="13">
        <v>1789.29</v>
      </c>
      <c r="FF11" s="13">
        <v>7800</v>
      </c>
      <c r="FG11" s="13">
        <v>380</v>
      </c>
      <c r="FH11" s="13">
        <v>70823.570000000007</v>
      </c>
      <c r="FI11" s="13">
        <v>63920.4</v>
      </c>
      <c r="FJ11" s="13">
        <v>1615</v>
      </c>
      <c r="FK11" s="13">
        <v>3399</v>
      </c>
      <c r="FL11" s="13">
        <v>1557.1666666666699</v>
      </c>
      <c r="FM11" s="13">
        <v>332</v>
      </c>
      <c r="FN11" s="13"/>
      <c r="FO11" s="13">
        <v>185222.26</v>
      </c>
      <c r="FP11" s="13">
        <v>1630</v>
      </c>
      <c r="FQ11" s="13">
        <v>1071.75</v>
      </c>
      <c r="FR11" s="13">
        <v>1608.52</v>
      </c>
      <c r="FS11" s="13">
        <v>332</v>
      </c>
      <c r="FT11" s="13"/>
      <c r="FU11" s="13">
        <v>189864.53</v>
      </c>
      <c r="FV11" s="13">
        <v>4.80960963448945E-2</v>
      </c>
      <c r="FW11" s="13">
        <v>0</v>
      </c>
      <c r="FX11" s="13">
        <v>0</v>
      </c>
      <c r="FY11" s="13">
        <v>16</v>
      </c>
      <c r="FZ11" s="13">
        <v>0</v>
      </c>
      <c r="GA11" s="13">
        <v>34</v>
      </c>
      <c r="GB11" s="13">
        <v>0</v>
      </c>
      <c r="GC11" s="13">
        <v>1</v>
      </c>
      <c r="GD11" s="13">
        <v>0</v>
      </c>
      <c r="GE11" s="13">
        <v>0</v>
      </c>
      <c r="GF11" s="13">
        <v>0</v>
      </c>
      <c r="GG11" s="13">
        <v>0</v>
      </c>
      <c r="GH11" s="13">
        <v>0</v>
      </c>
      <c r="GI11" s="13">
        <v>0</v>
      </c>
      <c r="GJ11" s="13">
        <v>0</v>
      </c>
      <c r="GK11" s="13">
        <v>0</v>
      </c>
      <c r="GL11" s="13">
        <v>0</v>
      </c>
      <c r="GM11" s="13">
        <v>3</v>
      </c>
      <c r="GN11" s="13">
        <v>83.914182464454996</v>
      </c>
      <c r="GO11" s="13">
        <v>0</v>
      </c>
      <c r="GP11" s="13"/>
      <c r="GQ11" s="13">
        <v>2931.76</v>
      </c>
      <c r="GR11" s="13">
        <v>1360.1</v>
      </c>
      <c r="GS11" s="13">
        <v>0</v>
      </c>
      <c r="GT11" s="13">
        <v>0</v>
      </c>
      <c r="GU11" s="13">
        <v>36</v>
      </c>
      <c r="GV11" s="13">
        <v>0</v>
      </c>
      <c r="GW11" s="13">
        <v>-21848.77</v>
      </c>
      <c r="GX11" s="13">
        <v>0</v>
      </c>
      <c r="GY11" s="13">
        <v>60158.66</v>
      </c>
      <c r="GZ11" s="13">
        <v>1472543</v>
      </c>
      <c r="HA11" s="13"/>
      <c r="HB11" s="13"/>
      <c r="HC11" s="13"/>
      <c r="HD11" s="13"/>
      <c r="HE11" s="46">
        <f>Tabela3[[#This Row],[A8-IMPOSTOS E TAXAS]]+Tabela3[[#This Row],[E1-REEMBOLSOS]]</f>
        <v>4291.8599999999997</v>
      </c>
      <c r="HF11" s="46">
        <f>Tabela3[[#This Row],[CR_RECEBIDOS]]-Tabela3[[#This Row],[DEDUCOES]]</f>
        <v>64165.17</v>
      </c>
      <c r="HG11" s="46">
        <f>Tabela3[[#This Row],[A1-PESSOAIS]]+Tabela3[[#This Row],[A2-MAQUINAS E EQUIP. ATIVOS]]+Tabela3[[#This Row],[A3-VEICULOS]]+Tabela3[[#This Row],[C2-VENDAS - CIRCULANTE]]+Tabela3[[#This Row],[D1-BANCO DE OFERTAS - LOCADOR 75%]]+Tabela3[[#This Row],[D2-BANCO DE OFERTAS - PARCEIROS]]</f>
        <v>21647.360000000001</v>
      </c>
      <c r="HH11" s="46">
        <f>Tabela3[[#This Row],[RECEBIMENTOS_MENOS_DEDUCOES]]-Tabela3[[#This Row],[CUSTOS]]</f>
        <v>42517.81</v>
      </c>
      <c r="HI11" s="46">
        <f>Tabela3[[#This Row],[B1-PROPAGANDA E PUBLICIDADE]]+Tabela3[[#This Row],[A5-IMOVEIS]]+Tabela3[[#This Row],[A6-COMUNICAÇÃO]]+Tabela3[[#This Row],[A4-MATERIAIS DE EXPEDIENTE]]+Tabela3[[#This Row],[A7-SERVICOS TERCEIRIZADOS]]+Tabela3[[#This Row],[B2-VIAGENS FRANQUEADO]]+Tabela3[[#This Row],[A9-DEPESAS EXTRAS]]</f>
        <v>4259.99</v>
      </c>
      <c r="HJ11" s="46">
        <f>Tabela3[[#This Row],[RECEBIMENTOS_MENOS_CUSTOS]]-Tabela3[[#This Row],[DESPESAS]]</f>
        <v>38257.82</v>
      </c>
      <c r="HK11" s="46">
        <f>Tabela3[[#This Row],[DEDUCOES]]+Tabela3[[#This Row],[CUSTOS]]+Tabela3[[#This Row],[DESPESAS]]</f>
        <v>30199.21</v>
      </c>
      <c r="HL11" s="47">
        <f>IFERROR(Tabela3[[#This Row],[RECEBIMENTOS_MENOS_DESPESAS]]/Tabela3[[#This Row],[CR_RECEBIDOS]],0)</f>
        <v>0.55885889294350044</v>
      </c>
      <c r="HM11" s="46">
        <f>Tabela3[[#This Row],[CR_RECEBIDOS]]-Tabela3[[#This Row],[RECEBIMENTO_MES]]-Tabela3[[#This Row],[RECEBIMENTO_31_60]]-Tabela3[[#This Row],[RECEBIMENTO_61_90]]-Tabela3[[#This Row],[RECEBIMENTO_ANTECIPADO]]-Tabela3[[#This Row],[RECUPERACAO_DE_FPA]]-Tabela3[[#This Row],[OUTROS_RECEBIMENTOS]]</f>
        <v>3786.7199999999993</v>
      </c>
      <c r="HN11" s="44">
        <f>Tabela3[[#This Row],[RECEBIMENTO_PREVISTO_NO_PERIODO]]-Tabela3[[#This Row],[RECEBIMENTO_0_30]]-Tabela3[[#This Row],[RECEBIMENTO_MES]]+Tabela3[[#This Row],[INADIMP_31_60]]-Tabela3[[#This Row],[RECEBIMENTO_31_60]]+Tabela3[[#This Row],[INADIMP_61_90]]-Tabela3[[#This Row],[RECEBIMENTO_61_90]]+Tabela3[[#This Row],[INADIMP_91_120]]+Tabela3[[#This Row],[FUNDO_PERDIDO_ACM]]-Tabela3[[#This Row],[RECUPERACAO_DE_FPA]]</f>
        <v>4750.6800000000039</v>
      </c>
      <c r="HO11" s="44">
        <f>SUMIFS(Tabela3[TOTAL_INADIMPLENCIA],Tabela3[ID],Tabela3[[#This Row],[ID]],Tabela3[COD_LOJA1],Tabela3[[#This Row],[COD_LOJA1]])-SUMIFS(Tabela3[TOTAL_INADIMPLENCIA],Tabela3[ID],Tabela3[[#This Row],[ID]]-1,Tabela3[COD_LOJA1],Tabela3[[#This Row],[COD_LOJA1]])</f>
        <v>3130.4600000000173</v>
      </c>
      <c r="HP11" s="45">
        <f>IFERROR(Tabela3[[#This Row],[VARIACAO_MES_ANTERIOR]]/(Tabela3[[#This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Row],[VARIACAO_MES_ANTERIOR]],0)),0)</f>
        <v>4.5075024488844644E-2</v>
      </c>
      <c r="HQ11" s="44">
        <f>SUM(Tabela3[[#This Row],[RECEBIMENTO_0_30]]+Tabela3[[#This Row],[RECEBIMENTO_MES]]+Tabela3[[#This Row],[RECEBIMENTO_31_60]]+Tabela3[[#This Row],[RECEBIMENTO_61_90]]+Tabela3[[#This Row],[RECUPERACAO_DE_FPA]]+Tabela3[[#This Row],[OUTROS_RECEBIMENTOS]]+MAX(Tabela3[[#This Row],[VARIACAO_MES_ANTERIOR]],0))</f>
        <v>69449.990000000034</v>
      </c>
      <c r="HR11" s="44">
        <f>Tabela3[[#This Row],[FINANCIAMENTOEQUIPAMENTO]]+Tabela3[[#This Row],[FINANCIAMENTOUTENSILIO]]+Tabela3[[#This Row],[DEVOLUCAO_DE_EMPRESTIMOS]]+Tabela3[[#This Row],[CONTASPAGAR_A_VENCER]]+Tabela3[[#This Row],[CPG_30DD]]+Tabela3[[#This Row],[CPG_31_60DD]]+Tabela3[[#This Row],[CPG_61_90DD]]+Tabela3[[#This Row],[CPG_MAIOR_90DD]]</f>
        <v>0</v>
      </c>
      <c r="HS11" s="41">
        <v>9</v>
      </c>
    </row>
  </sheetData>
  <conditionalFormatting sqref="HM4:HR11 HE4:HK11">
    <cfRule type="expression" dxfId="5" priority="25">
      <formula>IFERROR($D4,1)</formula>
    </cfRule>
  </conditionalFormatting>
  <conditionalFormatting sqref="HE4:HR11">
    <cfRule type="expression" dxfId="4" priority="24">
      <formula>$A4=0</formula>
    </cfRule>
  </conditionalFormatting>
  <conditionalFormatting sqref="HL4:HL11">
    <cfRule type="expression" dxfId="3" priority="11">
      <formula>IFERROR($D4,1)</formula>
    </cfRule>
  </conditionalFormatting>
  <conditionalFormatting sqref="HM3:HR3 HE3:HK3">
    <cfRule type="expression" dxfId="2" priority="3">
      <formula>IFERROR($D3,1)</formula>
    </cfRule>
  </conditionalFormatting>
  <conditionalFormatting sqref="HE3:HR3">
    <cfRule type="expression" dxfId="1" priority="2">
      <formula>$A3=0</formula>
    </cfRule>
  </conditionalFormatting>
  <conditionalFormatting sqref="HL3">
    <cfRule type="expression" dxfId="0" priority="1">
      <formula>IFERROR($D3,1)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:Z196"/>
  <sheetViews>
    <sheetView workbookViewId="0">
      <selection activeCell="G9" sqref="G9"/>
    </sheetView>
  </sheetViews>
  <sheetFormatPr baseColWidth="10" defaultColWidth="8.83203125" defaultRowHeight="12" x14ac:dyDescent="0"/>
  <cols>
    <col min="1" max="1" width="12.5" bestFit="1" customWidth="1"/>
    <col min="2" max="2" width="35.6640625" bestFit="1" customWidth="1"/>
    <col min="3" max="3" width="16.6640625" bestFit="1" customWidth="1"/>
    <col min="4" max="4" width="13.5" bestFit="1" customWidth="1"/>
    <col min="5" max="5" width="11.83203125" bestFit="1" customWidth="1"/>
    <col min="6" max="6" width="16.5" bestFit="1" customWidth="1"/>
    <col min="7" max="7" width="4.1640625" customWidth="1"/>
    <col min="8" max="8" width="1.1640625" customWidth="1"/>
    <col min="9" max="9" width="8.83203125" bestFit="1" customWidth="1"/>
    <col min="15" max="15" width="2" customWidth="1"/>
    <col min="16" max="16" width="1.83203125" customWidth="1"/>
    <col min="21" max="21" width="3.33203125" customWidth="1"/>
    <col min="22" max="22" width="9.6640625" customWidth="1"/>
  </cols>
  <sheetData>
    <row r="1" spans="1:26" ht="13">
      <c r="A1" s="22" t="s">
        <v>216</v>
      </c>
      <c r="B1" s="22" t="s">
        <v>212</v>
      </c>
      <c r="C1" s="23" t="s">
        <v>231</v>
      </c>
      <c r="D1" s="22" t="s">
        <v>233</v>
      </c>
      <c r="E1" s="22" t="s">
        <v>214</v>
      </c>
      <c r="F1" s="24" t="s">
        <v>234</v>
      </c>
      <c r="I1" s="30" t="s">
        <v>273</v>
      </c>
      <c r="J1" s="27" t="s">
        <v>240</v>
      </c>
      <c r="K1" s="27" t="s">
        <v>244</v>
      </c>
      <c r="L1" s="27" t="s">
        <v>250</v>
      </c>
      <c r="M1" s="27" t="s">
        <v>236</v>
      </c>
      <c r="N1" s="31" t="s">
        <v>262</v>
      </c>
      <c r="Q1" s="32" t="s">
        <v>237</v>
      </c>
      <c r="R1" s="25" t="s">
        <v>242</v>
      </c>
      <c r="S1" s="25" t="s">
        <v>245</v>
      </c>
      <c r="T1" s="25" t="s">
        <v>251</v>
      </c>
      <c r="V1" s="38" t="s">
        <v>215</v>
      </c>
    </row>
    <row r="2" spans="1:26" ht="13">
      <c r="A2" s="33">
        <v>1</v>
      </c>
      <c r="B2" s="3" t="s">
        <v>235</v>
      </c>
      <c r="C2" s="4">
        <v>34010</v>
      </c>
      <c r="D2" s="3" t="s">
        <v>238</v>
      </c>
      <c r="E2" s="5">
        <v>1</v>
      </c>
      <c r="F2" s="16" t="e">
        <f ca="1">IF(LEFT(onde_tah(Tabela6[],Tabela2[[#This Row],[COD_LOJA]]),2) = "$Y","BRUNO","")</f>
        <v>#NAME?</v>
      </c>
      <c r="I2" s="29">
        <v>27</v>
      </c>
      <c r="J2" s="13">
        <v>2</v>
      </c>
      <c r="K2" s="13">
        <v>4</v>
      </c>
      <c r="L2" s="13">
        <v>7</v>
      </c>
      <c r="M2" s="13">
        <v>1</v>
      </c>
      <c r="N2" s="28">
        <v>17</v>
      </c>
      <c r="Q2" s="21">
        <v>1</v>
      </c>
      <c r="R2" s="13">
        <v>3</v>
      </c>
      <c r="S2" s="13">
        <v>4</v>
      </c>
      <c r="T2" s="13">
        <v>7</v>
      </c>
      <c r="V2" s="36">
        <v>30</v>
      </c>
    </row>
    <row r="3" spans="1:26" ht="13">
      <c r="A3" s="34">
        <v>2</v>
      </c>
      <c r="B3" s="6" t="s">
        <v>239</v>
      </c>
      <c r="C3" s="7">
        <v>35490</v>
      </c>
      <c r="D3" s="6" t="s">
        <v>238</v>
      </c>
      <c r="E3" s="8">
        <v>1</v>
      </c>
      <c r="F3" s="17" t="e">
        <f ca="1">IF(LEFT(onde_tah(Tabela6[],Tabela2[[#This Row],[COD_LOJA]]),2) = "$Y","BRUNO","")</f>
        <v>#NAME?</v>
      </c>
      <c r="I3" s="29">
        <v>42</v>
      </c>
      <c r="J3" s="13">
        <v>3</v>
      </c>
      <c r="K3" s="13">
        <v>5</v>
      </c>
      <c r="L3" s="13">
        <v>12</v>
      </c>
      <c r="M3" s="13">
        <v>10</v>
      </c>
      <c r="N3" s="28">
        <v>33</v>
      </c>
      <c r="Q3" s="21">
        <v>2</v>
      </c>
      <c r="R3" s="13">
        <v>8</v>
      </c>
      <c r="S3" s="13">
        <v>5</v>
      </c>
      <c r="T3" s="13">
        <v>12</v>
      </c>
      <c r="V3" s="37">
        <v>42</v>
      </c>
    </row>
    <row r="4" spans="1:26" ht="13">
      <c r="A4" s="34">
        <v>3</v>
      </c>
      <c r="B4" s="6" t="s">
        <v>241</v>
      </c>
      <c r="C4" s="7">
        <v>36617</v>
      </c>
      <c r="D4" s="6"/>
      <c r="E4" s="6"/>
      <c r="F4" s="17" t="e">
        <f ca="1">IF(LEFT(onde_tah(Tabela6[],Tabela2[[#This Row],[COD_LOJA]]),2) = "$Y","BRUNO","")</f>
        <v>#NAME?</v>
      </c>
      <c r="I4" s="29">
        <v>69</v>
      </c>
      <c r="J4" s="13">
        <v>8</v>
      </c>
      <c r="K4" s="13">
        <v>6</v>
      </c>
      <c r="L4" s="13">
        <v>26</v>
      </c>
      <c r="M4" s="13">
        <v>15</v>
      </c>
      <c r="N4" s="28">
        <v>39</v>
      </c>
      <c r="Q4" s="21">
        <v>14</v>
      </c>
      <c r="R4" s="13">
        <v>11</v>
      </c>
      <c r="S4" s="13">
        <v>6</v>
      </c>
      <c r="T4" s="13">
        <v>24</v>
      </c>
      <c r="V4" s="36">
        <v>46</v>
      </c>
      <c r="Z4" s="1"/>
    </row>
    <row r="5" spans="1:26" ht="13">
      <c r="A5" s="34">
        <v>4</v>
      </c>
      <c r="B5" s="6" t="s">
        <v>243</v>
      </c>
      <c r="C5" s="7">
        <v>36039</v>
      </c>
      <c r="D5" s="6" t="s">
        <v>246</v>
      </c>
      <c r="E5" s="6"/>
      <c r="F5" s="17" t="e">
        <f ca="1">IF(LEFT(onde_tah(Tabela6[],Tabela2[[#This Row],[COD_LOJA]]),2) = "$Y","BRUNO","")</f>
        <v>#NAME?</v>
      </c>
      <c r="I5" s="29">
        <v>73</v>
      </c>
      <c r="J5" s="13">
        <v>11</v>
      </c>
      <c r="K5" s="13">
        <v>9</v>
      </c>
      <c r="L5" s="13">
        <v>45</v>
      </c>
      <c r="M5" s="13">
        <v>21</v>
      </c>
      <c r="N5" s="28">
        <v>41</v>
      </c>
      <c r="Q5" s="21">
        <v>17</v>
      </c>
      <c r="R5" s="13">
        <v>20</v>
      </c>
      <c r="S5" s="13">
        <v>9</v>
      </c>
      <c r="T5" s="13">
        <v>25</v>
      </c>
      <c r="V5" s="37">
        <v>62</v>
      </c>
    </row>
    <row r="6" spans="1:26" ht="13">
      <c r="A6" s="34">
        <v>5</v>
      </c>
      <c r="B6" s="6" t="s">
        <v>247</v>
      </c>
      <c r="C6" s="7">
        <v>36313</v>
      </c>
      <c r="D6" s="6"/>
      <c r="E6" s="6"/>
      <c r="F6" s="17" t="e">
        <f ca="1">IF(LEFT(onde_tah(Tabela6[],Tabela2[[#This Row],[COD_LOJA]]),2) = "$Y","BRUNO","")</f>
        <v>#NAME?</v>
      </c>
      <c r="I6" s="29">
        <v>81</v>
      </c>
      <c r="J6" s="13">
        <v>20</v>
      </c>
      <c r="K6" s="13">
        <v>14</v>
      </c>
      <c r="L6" s="13">
        <v>47</v>
      </c>
      <c r="M6" s="13">
        <v>23</v>
      </c>
      <c r="N6" s="28">
        <v>43</v>
      </c>
      <c r="Q6" s="21">
        <v>30</v>
      </c>
      <c r="R6" s="13">
        <v>29</v>
      </c>
      <c r="S6" s="13">
        <v>10</v>
      </c>
      <c r="T6" s="13">
        <v>26</v>
      </c>
      <c r="V6" s="36">
        <v>83</v>
      </c>
    </row>
    <row r="7" spans="1:26" ht="13">
      <c r="A7" s="34">
        <v>6</v>
      </c>
      <c r="B7" s="6" t="s">
        <v>248</v>
      </c>
      <c r="C7" s="7">
        <v>36678</v>
      </c>
      <c r="D7" s="6" t="s">
        <v>246</v>
      </c>
      <c r="E7" s="8">
        <v>0.17</v>
      </c>
      <c r="F7" s="17" t="e">
        <f ca="1">IF(LEFT(onde_tah(Tabela6[],Tabela2[[#This Row],[COD_LOJA]]),2) = "$Y","BRUNO","")</f>
        <v>#NAME?</v>
      </c>
      <c r="I7" s="29">
        <v>84</v>
      </c>
      <c r="J7" s="13">
        <v>29</v>
      </c>
      <c r="K7" s="13">
        <v>16</v>
      </c>
      <c r="L7" s="13">
        <v>49</v>
      </c>
      <c r="M7" s="13">
        <v>24</v>
      </c>
      <c r="N7" s="28">
        <v>44</v>
      </c>
      <c r="Q7" s="21">
        <v>41</v>
      </c>
      <c r="R7" s="13">
        <v>31</v>
      </c>
      <c r="S7" s="13">
        <v>15</v>
      </c>
      <c r="T7" s="13">
        <v>44</v>
      </c>
      <c r="V7" s="37">
        <v>86</v>
      </c>
    </row>
    <row r="8" spans="1:26" ht="13">
      <c r="A8" s="34">
        <v>7</v>
      </c>
      <c r="B8" s="6" t="s">
        <v>249</v>
      </c>
      <c r="C8" s="7">
        <v>36921</v>
      </c>
      <c r="D8" s="6"/>
      <c r="E8" s="6"/>
      <c r="F8" s="17" t="e">
        <f ca="1">IF(LEFT(onde_tah(Tabela6[],Tabela2[[#This Row],[COD_LOJA]]),2) = "$Y","BRUNO","")</f>
        <v>#NAME?</v>
      </c>
      <c r="I8" s="29">
        <v>94</v>
      </c>
      <c r="J8" s="13">
        <v>31</v>
      </c>
      <c r="K8" s="13">
        <v>18</v>
      </c>
      <c r="L8" s="13">
        <v>61</v>
      </c>
      <c r="M8" s="13">
        <v>25</v>
      </c>
      <c r="N8" s="28">
        <v>52</v>
      </c>
      <c r="Q8" s="21">
        <v>46</v>
      </c>
      <c r="R8" s="13">
        <v>32</v>
      </c>
      <c r="S8" s="13">
        <v>16</v>
      </c>
      <c r="T8" s="13">
        <v>45</v>
      </c>
      <c r="V8" s="36">
        <v>100</v>
      </c>
    </row>
    <row r="9" spans="1:26" ht="13">
      <c r="A9" s="34">
        <v>8</v>
      </c>
      <c r="B9" s="6" t="s">
        <v>252</v>
      </c>
      <c r="C9" s="7">
        <v>36955</v>
      </c>
      <c r="D9" s="6"/>
      <c r="E9" s="6"/>
      <c r="F9" s="17" t="e">
        <f ca="1">IF(LEFT(onde_tah(Tabela6[],Tabela2[[#This Row],[COD_LOJA]]),2) = "$Y","BRUNO","")</f>
        <v>#NAME?</v>
      </c>
      <c r="I9" s="29">
        <v>97</v>
      </c>
      <c r="J9" s="13">
        <v>36</v>
      </c>
      <c r="K9" s="13">
        <v>19</v>
      </c>
      <c r="L9" s="13">
        <v>66</v>
      </c>
      <c r="M9" s="13">
        <v>30</v>
      </c>
      <c r="N9" s="28">
        <v>54</v>
      </c>
      <c r="Q9" s="21">
        <v>50</v>
      </c>
      <c r="R9" s="13">
        <v>33</v>
      </c>
      <c r="S9" s="13">
        <v>18</v>
      </c>
      <c r="T9" s="13">
        <v>47</v>
      </c>
      <c r="V9" s="37">
        <v>150</v>
      </c>
    </row>
    <row r="10" spans="1:26" ht="13">
      <c r="A10" s="34">
        <v>9</v>
      </c>
      <c r="B10" s="6" t="s">
        <v>253</v>
      </c>
      <c r="C10" s="7">
        <v>37067</v>
      </c>
      <c r="D10" s="6" t="s">
        <v>246</v>
      </c>
      <c r="E10" s="8">
        <v>0.1</v>
      </c>
      <c r="F10" s="17" t="e">
        <f ca="1">IF(LEFT(onde_tah(Tabela6[],Tabela2[[#This Row],[COD_LOJA]]),2) = "$Y","BRUNO","")</f>
        <v>#NAME?</v>
      </c>
      <c r="I10" s="29">
        <v>105</v>
      </c>
      <c r="J10" s="13">
        <v>40</v>
      </c>
      <c r="K10" s="13">
        <v>22</v>
      </c>
      <c r="L10" s="13">
        <v>72</v>
      </c>
      <c r="M10" s="13">
        <v>32</v>
      </c>
      <c r="N10" s="28">
        <v>55</v>
      </c>
      <c r="Q10" s="21">
        <v>62</v>
      </c>
      <c r="R10" s="13">
        <v>34</v>
      </c>
      <c r="S10" s="13">
        <v>19</v>
      </c>
      <c r="T10" s="13">
        <v>49</v>
      </c>
      <c r="V10" s="39">
        <v>170</v>
      </c>
    </row>
    <row r="11" spans="1:26" ht="13">
      <c r="A11" s="34">
        <v>10</v>
      </c>
      <c r="B11" s="6" t="s">
        <v>254</v>
      </c>
      <c r="C11" s="7">
        <v>37179</v>
      </c>
      <c r="D11" s="6"/>
      <c r="E11" s="6"/>
      <c r="F11" s="17" t="e">
        <f ca="1">IF(LEFT(onde_tah(Tabela6[],Tabela2[[#This Row],[COD_LOJA]]),2) = "$Y","BRUNO","")</f>
        <v>#NAME?</v>
      </c>
      <c r="I11" s="29">
        <v>112</v>
      </c>
      <c r="J11" s="13">
        <v>46</v>
      </c>
      <c r="K11" s="13">
        <v>28</v>
      </c>
      <c r="L11" s="13">
        <v>79</v>
      </c>
      <c r="M11" s="13">
        <v>34</v>
      </c>
      <c r="N11" s="28">
        <v>63</v>
      </c>
      <c r="Q11" s="21">
        <v>64</v>
      </c>
      <c r="R11" s="13">
        <v>36</v>
      </c>
      <c r="S11" s="13">
        <v>21</v>
      </c>
      <c r="T11" s="13">
        <v>61</v>
      </c>
    </row>
    <row r="12" spans="1:26" ht="13">
      <c r="A12" s="34">
        <v>11</v>
      </c>
      <c r="B12" s="6" t="s">
        <v>255</v>
      </c>
      <c r="C12" s="7">
        <v>37188</v>
      </c>
      <c r="D12" s="6"/>
      <c r="E12" s="6"/>
      <c r="F12" s="17" t="e">
        <f ca="1">IF(LEFT(onde_tah(Tabela6[],Tabela2[[#This Row],[COD_LOJA]]),2) = "$Y","BRUNO","")</f>
        <v>#NAME?</v>
      </c>
      <c r="I12" s="29">
        <v>129</v>
      </c>
      <c r="J12" s="13">
        <v>51</v>
      </c>
      <c r="K12" s="13">
        <v>35</v>
      </c>
      <c r="L12" s="13">
        <v>80</v>
      </c>
      <c r="M12" s="13">
        <v>50</v>
      </c>
      <c r="N12" s="28">
        <v>64</v>
      </c>
      <c r="Q12" s="21">
        <v>67</v>
      </c>
      <c r="R12" s="13">
        <v>40</v>
      </c>
      <c r="S12" s="13">
        <v>22</v>
      </c>
      <c r="T12" s="13">
        <v>66</v>
      </c>
    </row>
    <row r="13" spans="1:26" ht="13">
      <c r="A13" s="34">
        <v>12</v>
      </c>
      <c r="B13" s="6" t="s">
        <v>256</v>
      </c>
      <c r="C13" s="7">
        <v>37270</v>
      </c>
      <c r="D13" s="6"/>
      <c r="E13" s="6"/>
      <c r="F13" s="17" t="e">
        <f ca="1">IF(LEFT(onde_tah(Tabela6[],Tabela2[[#This Row],[COD_LOJA]]),2) = "$Y","BRUNO","")</f>
        <v>#NAME?</v>
      </c>
      <c r="I13" s="29">
        <v>131</v>
      </c>
      <c r="J13" s="13">
        <v>53</v>
      </c>
      <c r="K13" s="13">
        <v>37</v>
      </c>
      <c r="L13" s="13">
        <v>86</v>
      </c>
      <c r="M13" s="13">
        <v>62</v>
      </c>
      <c r="N13" s="28">
        <v>75</v>
      </c>
      <c r="Q13" s="21">
        <v>77</v>
      </c>
      <c r="R13" s="13">
        <v>42</v>
      </c>
      <c r="S13" s="13">
        <v>23</v>
      </c>
      <c r="T13" s="13">
        <v>72</v>
      </c>
    </row>
    <row r="14" spans="1:26" ht="12" customHeight="1">
      <c r="A14" s="34">
        <v>14</v>
      </c>
      <c r="B14" s="6" t="s">
        <v>257</v>
      </c>
      <c r="C14" s="7">
        <v>38210</v>
      </c>
      <c r="D14" s="6" t="s">
        <v>258</v>
      </c>
      <c r="E14" s="8">
        <v>1</v>
      </c>
      <c r="F14" s="17" t="e">
        <f ca="1">IF(LEFT(onde_tah(Tabela6[],Tabela2[[#This Row],[COD_LOJA]]),2) = "$Y","BRUNO","")</f>
        <v>#NAME?</v>
      </c>
      <c r="I14" s="29">
        <v>138</v>
      </c>
      <c r="J14" s="13">
        <v>59</v>
      </c>
      <c r="K14" s="13">
        <v>38</v>
      </c>
      <c r="L14" s="13">
        <v>87</v>
      </c>
      <c r="M14" s="13">
        <v>88</v>
      </c>
      <c r="N14" s="28">
        <v>78</v>
      </c>
      <c r="Q14" s="21">
        <v>78</v>
      </c>
      <c r="R14" s="13">
        <v>51</v>
      </c>
      <c r="S14" s="13">
        <v>27</v>
      </c>
      <c r="T14" s="13">
        <v>73</v>
      </c>
    </row>
    <row r="15" spans="1:26" ht="13">
      <c r="A15" s="34">
        <v>15</v>
      </c>
      <c r="B15" s="6" t="s">
        <v>259</v>
      </c>
      <c r="C15" s="7">
        <v>38474</v>
      </c>
      <c r="D15" s="6"/>
      <c r="E15" s="6"/>
      <c r="F15" s="17" t="e">
        <f ca="1">IF(LEFT(onde_tah(Tabela6[],Tabela2[[#This Row],[COD_LOJA]]),2) = "$Y","BRUNO","")</f>
        <v>#NAME?</v>
      </c>
      <c r="I15" s="29">
        <v>142</v>
      </c>
      <c r="J15" s="13">
        <v>68</v>
      </c>
      <c r="K15" s="13">
        <v>48</v>
      </c>
      <c r="L15" s="13">
        <v>92</v>
      </c>
      <c r="M15" s="13">
        <v>89</v>
      </c>
      <c r="N15" s="28">
        <v>82</v>
      </c>
      <c r="Q15" s="21">
        <v>83</v>
      </c>
      <c r="R15" s="13">
        <v>53</v>
      </c>
      <c r="S15" s="13">
        <v>28</v>
      </c>
      <c r="T15" s="13">
        <v>79</v>
      </c>
    </row>
    <row r="16" spans="1:26" ht="13">
      <c r="A16" s="34">
        <v>16</v>
      </c>
      <c r="B16" s="6" t="s">
        <v>260</v>
      </c>
      <c r="C16" s="7">
        <v>38552</v>
      </c>
      <c r="D16" s="6"/>
      <c r="E16" s="6"/>
      <c r="F16" s="17" t="e">
        <f ca="1">IF(LEFT(onde_tah(Tabela6[],Tabela2[[#This Row],[COD_LOJA]]),2) = "$Y","BRUNO","")</f>
        <v>#NAME?</v>
      </c>
      <c r="I16" s="29">
        <v>146</v>
      </c>
      <c r="J16" s="13">
        <v>77</v>
      </c>
      <c r="K16" s="13">
        <v>56</v>
      </c>
      <c r="L16" s="13">
        <v>100</v>
      </c>
      <c r="M16" s="13">
        <v>95</v>
      </c>
      <c r="N16" s="28">
        <v>85</v>
      </c>
      <c r="Q16" s="21">
        <v>86</v>
      </c>
      <c r="R16" s="13">
        <v>54</v>
      </c>
      <c r="S16" s="13">
        <v>35</v>
      </c>
      <c r="T16" s="13">
        <v>80</v>
      </c>
    </row>
    <row r="17" spans="1:25" ht="13">
      <c r="A17" s="34">
        <v>17</v>
      </c>
      <c r="B17" s="6" t="s">
        <v>261</v>
      </c>
      <c r="C17" s="7">
        <v>38701</v>
      </c>
      <c r="D17" s="6" t="s">
        <v>258</v>
      </c>
      <c r="E17" s="8">
        <v>1</v>
      </c>
      <c r="F17" s="17" t="e">
        <f ca="1">IF(LEFT(onde_tah(Tabela6[],Tabela2[[#This Row],[COD_LOJA]]),2) = "$Y","BRUNO","")</f>
        <v>#NAME?</v>
      </c>
      <c r="I17" s="29">
        <v>174</v>
      </c>
      <c r="J17" s="13">
        <v>83</v>
      </c>
      <c r="K17" s="13">
        <v>57</v>
      </c>
      <c r="L17" s="13">
        <v>102</v>
      </c>
      <c r="M17" s="13">
        <v>96</v>
      </c>
      <c r="N17" s="28">
        <v>90</v>
      </c>
      <c r="Q17" s="21">
        <v>100</v>
      </c>
      <c r="R17" s="13">
        <v>55</v>
      </c>
      <c r="S17" s="13">
        <v>37</v>
      </c>
      <c r="T17" s="13">
        <v>87</v>
      </c>
      <c r="Y17" s="1"/>
    </row>
    <row r="18" spans="1:25" ht="13">
      <c r="A18" s="34">
        <v>18</v>
      </c>
      <c r="B18" s="6" t="s">
        <v>263</v>
      </c>
      <c r="C18" s="7">
        <v>38412</v>
      </c>
      <c r="D18" s="6" t="s">
        <v>246</v>
      </c>
      <c r="E18" s="6"/>
      <c r="F18" s="17" t="e">
        <f ca="1">IF(LEFT(onde_tah(Tabela6[],Tabela2[[#This Row],[COD_LOJA]]),2) = "$Y","BRUNO","")</f>
        <v>#NAME?</v>
      </c>
      <c r="I18" s="29">
        <v>175</v>
      </c>
      <c r="J18" s="13">
        <v>91</v>
      </c>
      <c r="K18" s="13">
        <v>58</v>
      </c>
      <c r="L18" s="13">
        <v>103</v>
      </c>
      <c r="M18" s="13">
        <v>110</v>
      </c>
      <c r="N18" s="28">
        <v>99</v>
      </c>
      <c r="Q18" s="21">
        <v>114</v>
      </c>
      <c r="R18" s="13">
        <v>59</v>
      </c>
      <c r="S18" s="13">
        <v>38</v>
      </c>
      <c r="T18" s="13">
        <v>88</v>
      </c>
      <c r="Y18" s="1"/>
    </row>
    <row r="19" spans="1:25" ht="13">
      <c r="A19" s="34">
        <v>19</v>
      </c>
      <c r="B19" s="6" t="s">
        <v>264</v>
      </c>
      <c r="C19" s="7">
        <v>38412</v>
      </c>
      <c r="D19" s="6" t="s">
        <v>246</v>
      </c>
      <c r="E19" s="6"/>
      <c r="F19" s="17" t="e">
        <f ca="1">IF(LEFT(onde_tah(Tabela6[],Tabela2[[#This Row],[COD_LOJA]]),2) = "$Y","BRUNO","")</f>
        <v>#NAME?</v>
      </c>
      <c r="I19" s="29"/>
      <c r="J19" s="13">
        <v>93</v>
      </c>
      <c r="K19" s="13">
        <v>60</v>
      </c>
      <c r="L19" s="13">
        <v>104</v>
      </c>
      <c r="M19" s="13">
        <v>113</v>
      </c>
      <c r="N19" s="28">
        <v>101</v>
      </c>
      <c r="Q19" s="15">
        <v>145</v>
      </c>
      <c r="R19" s="28">
        <v>63</v>
      </c>
      <c r="S19" s="28">
        <v>39</v>
      </c>
      <c r="T19" s="28">
        <v>92</v>
      </c>
      <c r="Y19" s="1"/>
    </row>
    <row r="20" spans="1:25" ht="13">
      <c r="A20" s="34">
        <v>20</v>
      </c>
      <c r="B20" s="6" t="s">
        <v>265</v>
      </c>
      <c r="C20" s="7">
        <v>38815</v>
      </c>
      <c r="D20" s="6"/>
      <c r="E20" s="6"/>
      <c r="F20" s="17" t="e">
        <f ca="1">IF(LEFT(onde_tah(Tabela6[],Tabela2[[#This Row],[COD_LOJA]]),2) = "$Y","BRUNO","")</f>
        <v>#NAME?</v>
      </c>
      <c r="I20" s="29"/>
      <c r="J20" s="13">
        <v>109</v>
      </c>
      <c r="K20" s="13">
        <v>65</v>
      </c>
      <c r="L20" s="13">
        <v>125</v>
      </c>
      <c r="M20" s="13">
        <v>119</v>
      </c>
      <c r="N20" s="28">
        <v>106</v>
      </c>
      <c r="Q20" s="29">
        <v>150</v>
      </c>
      <c r="R20" s="13">
        <v>68</v>
      </c>
      <c r="S20" s="13">
        <v>43</v>
      </c>
      <c r="T20" s="13">
        <v>94</v>
      </c>
    </row>
    <row r="21" spans="1:25" ht="13">
      <c r="A21" s="34">
        <v>21</v>
      </c>
      <c r="B21" s="6" t="s">
        <v>266</v>
      </c>
      <c r="C21" s="7">
        <v>38885</v>
      </c>
      <c r="D21" s="6"/>
      <c r="E21" s="6"/>
      <c r="F21" s="17" t="e">
        <f ca="1">IF(LEFT(onde_tah(Tabela6[],Tabela2[[#This Row],[COD_LOJA]]),2) = "$Y","BRUNO","")</f>
        <v>#NAME?</v>
      </c>
      <c r="I21" s="29"/>
      <c r="J21" s="13">
        <v>111</v>
      </c>
      <c r="K21" s="13">
        <v>67</v>
      </c>
      <c r="L21" s="13">
        <v>127</v>
      </c>
      <c r="M21" s="13">
        <v>120</v>
      </c>
      <c r="N21" s="28">
        <v>114</v>
      </c>
      <c r="Q21" s="29">
        <v>170</v>
      </c>
      <c r="R21" s="13">
        <v>85</v>
      </c>
      <c r="S21" s="13">
        <v>48</v>
      </c>
      <c r="T21" s="13">
        <v>96</v>
      </c>
    </row>
    <row r="22" spans="1:25" ht="13">
      <c r="A22" s="34">
        <v>22</v>
      </c>
      <c r="B22" s="6" t="s">
        <v>267</v>
      </c>
      <c r="C22" s="7">
        <v>38920</v>
      </c>
      <c r="D22" s="6"/>
      <c r="E22" s="6"/>
      <c r="F22" s="17" t="e">
        <f ca="1">IF(LEFT(onde_tah(Tabela6[],Tabela2[[#This Row],[COD_LOJA]]),2) = "$Y","BRUNO","")</f>
        <v>#NAME?</v>
      </c>
      <c r="I22" s="29"/>
      <c r="J22" s="13">
        <v>115</v>
      </c>
      <c r="K22" s="13">
        <v>70</v>
      </c>
      <c r="L22" s="13">
        <v>128</v>
      </c>
      <c r="M22" s="13">
        <v>122</v>
      </c>
      <c r="N22" s="28">
        <v>118</v>
      </c>
      <c r="Q22" s="29"/>
      <c r="R22" s="13">
        <v>89</v>
      </c>
      <c r="S22" s="13">
        <v>52</v>
      </c>
      <c r="T22" s="13">
        <v>99</v>
      </c>
    </row>
    <row r="23" spans="1:25" ht="13">
      <c r="A23" s="34">
        <v>23</v>
      </c>
      <c r="B23" s="6" t="s">
        <v>268</v>
      </c>
      <c r="C23" s="7">
        <v>39004</v>
      </c>
      <c r="D23" s="6"/>
      <c r="E23" s="6"/>
      <c r="F23" s="17" t="e">
        <f ca="1">IF(LEFT(onde_tah(Tabela6[],Tabela2[[#This Row],[COD_LOJA]]),2) = "$Y","BRUNO","")</f>
        <v>#NAME?</v>
      </c>
      <c r="I23" s="29"/>
      <c r="J23" s="13">
        <v>116</v>
      </c>
      <c r="K23" s="13">
        <v>71</v>
      </c>
      <c r="L23" s="13">
        <v>137</v>
      </c>
      <c r="M23" s="13">
        <v>126</v>
      </c>
      <c r="N23" s="28">
        <v>121</v>
      </c>
      <c r="Q23" s="29"/>
      <c r="R23" s="13">
        <v>91</v>
      </c>
      <c r="S23" s="13">
        <v>56</v>
      </c>
      <c r="T23" s="13">
        <v>102</v>
      </c>
    </row>
    <row r="24" spans="1:25" ht="13">
      <c r="A24" s="34">
        <v>24</v>
      </c>
      <c r="B24" s="6" t="s">
        <v>269</v>
      </c>
      <c r="C24" s="7">
        <v>39032</v>
      </c>
      <c r="D24" s="6"/>
      <c r="E24" s="6"/>
      <c r="F24" s="17" t="e">
        <f ca="1">IF(LEFT(onde_tah(Tabela6[],Tabela2[[#This Row],[COD_LOJA]]),2) = "$Y","BRUNO","")</f>
        <v>#NAME?</v>
      </c>
      <c r="I24" s="29"/>
      <c r="J24" s="13">
        <v>117</v>
      </c>
      <c r="K24" s="13">
        <v>74</v>
      </c>
      <c r="L24" s="13">
        <v>140</v>
      </c>
      <c r="M24" s="13">
        <v>132</v>
      </c>
      <c r="N24" s="28">
        <v>130</v>
      </c>
      <c r="Q24" s="29"/>
      <c r="R24" s="13">
        <v>93</v>
      </c>
      <c r="S24" s="13">
        <v>57</v>
      </c>
      <c r="T24" s="13">
        <v>103</v>
      </c>
    </row>
    <row r="25" spans="1:25" ht="13">
      <c r="A25" s="34">
        <v>25</v>
      </c>
      <c r="B25" s="6" t="s">
        <v>270</v>
      </c>
      <c r="C25" s="7">
        <v>39004</v>
      </c>
      <c r="D25" s="6"/>
      <c r="E25" s="6"/>
      <c r="F25" s="17" t="e">
        <f ca="1">IF(LEFT(onde_tah(Tabela6[],Tabela2[[#This Row],[COD_LOJA]]),2) = "$Y","BRUNO","")</f>
        <v>#NAME?</v>
      </c>
      <c r="I25" s="29"/>
      <c r="J25" s="13">
        <v>124</v>
      </c>
      <c r="K25" s="13">
        <v>98</v>
      </c>
      <c r="L25" s="13">
        <v>157</v>
      </c>
      <c r="M25" s="13">
        <v>139</v>
      </c>
      <c r="N25" s="28">
        <v>147</v>
      </c>
      <c r="Q25" s="29"/>
      <c r="R25" s="13">
        <v>101</v>
      </c>
      <c r="S25" s="13">
        <v>58</v>
      </c>
      <c r="T25" s="13">
        <v>104</v>
      </c>
    </row>
    <row r="26" spans="1:25" ht="13">
      <c r="A26" s="34">
        <v>26</v>
      </c>
      <c r="B26" s="6" t="s">
        <v>271</v>
      </c>
      <c r="C26" s="7">
        <v>39022</v>
      </c>
      <c r="D26" s="6"/>
      <c r="E26" s="6"/>
      <c r="F26" s="17" t="e">
        <f ca="1">IF(LEFT(onde_tah(Tabela6[],Tabela2[[#This Row],[COD_LOJA]]),2) = "$Y","BRUNO","")</f>
        <v>#NAME?</v>
      </c>
      <c r="I26" s="29"/>
      <c r="J26" s="13">
        <v>133</v>
      </c>
      <c r="K26" s="13">
        <v>107</v>
      </c>
      <c r="L26" s="13">
        <v>167</v>
      </c>
      <c r="M26" s="13">
        <v>148</v>
      </c>
      <c r="N26" s="28">
        <v>149</v>
      </c>
      <c r="Q26" s="29"/>
      <c r="R26" s="13">
        <v>109</v>
      </c>
      <c r="S26" s="13">
        <v>60</v>
      </c>
      <c r="T26" s="13">
        <v>110</v>
      </c>
    </row>
    <row r="27" spans="1:25" ht="13">
      <c r="A27" s="34">
        <v>27</v>
      </c>
      <c r="B27" s="6" t="s">
        <v>272</v>
      </c>
      <c r="C27" s="7">
        <v>39185</v>
      </c>
      <c r="D27" s="6"/>
      <c r="E27" s="6"/>
      <c r="F27" s="17" t="e">
        <f ca="1">IF(LEFT(onde_tah(Tabela6[],Tabela2[[#This Row],[COD_LOJA]]),2) = "$Y","BRUNO","")</f>
        <v>#NAME?</v>
      </c>
      <c r="I27" s="29"/>
      <c r="J27" s="13">
        <v>134</v>
      </c>
      <c r="K27" s="13">
        <v>108</v>
      </c>
      <c r="L27" s="13">
        <v>168</v>
      </c>
      <c r="M27" s="13">
        <v>150</v>
      </c>
      <c r="N27" s="28">
        <v>173</v>
      </c>
      <c r="Q27" s="29"/>
      <c r="R27" s="13">
        <v>111</v>
      </c>
      <c r="S27" s="13">
        <v>65</v>
      </c>
      <c r="T27" s="13">
        <v>118</v>
      </c>
    </row>
    <row r="28" spans="1:25" ht="13">
      <c r="A28" s="34">
        <v>28</v>
      </c>
      <c r="B28" s="6" t="s">
        <v>274</v>
      </c>
      <c r="C28" s="7">
        <v>39172</v>
      </c>
      <c r="D28" s="6" t="s">
        <v>275</v>
      </c>
      <c r="E28" s="6"/>
      <c r="F28" s="17" t="e">
        <f ca="1">IF(LEFT(onde_tah(Tabela6[],Tabela2[[#This Row],[COD_LOJA]]),2) = "$Y","BRUNO","")</f>
        <v>#NAME?</v>
      </c>
      <c r="I28" s="29"/>
      <c r="J28" s="13">
        <v>135</v>
      </c>
      <c r="K28" s="13">
        <v>123</v>
      </c>
      <c r="L28" s="13">
        <v>170</v>
      </c>
      <c r="M28" s="13">
        <v>151</v>
      </c>
      <c r="N28" s="28">
        <v>178</v>
      </c>
      <c r="Q28" s="29"/>
      <c r="R28" s="13">
        <v>112</v>
      </c>
      <c r="S28" s="13">
        <v>69</v>
      </c>
      <c r="T28" s="13">
        <v>125</v>
      </c>
    </row>
    <row r="29" spans="1:25" ht="13">
      <c r="A29" s="34">
        <v>29</v>
      </c>
      <c r="B29" s="6" t="s">
        <v>276</v>
      </c>
      <c r="C29" s="7">
        <v>39274</v>
      </c>
      <c r="D29" s="6" t="s">
        <v>277</v>
      </c>
      <c r="E29" s="6"/>
      <c r="F29" s="17" t="e">
        <f ca="1">IF(LEFT(onde_tah(Tabela6[],Tabela2[[#This Row],[COD_LOJA]]),2) = "$Y","BRUNO","")</f>
        <v>#NAME?</v>
      </c>
      <c r="I29" s="29"/>
      <c r="J29" s="13">
        <v>145</v>
      </c>
      <c r="K29" s="13">
        <v>136</v>
      </c>
      <c r="L29" s="13">
        <v>171</v>
      </c>
      <c r="M29" s="13">
        <v>153</v>
      </c>
      <c r="N29" s="28">
        <v>182</v>
      </c>
      <c r="Q29" s="29"/>
      <c r="R29" s="13">
        <v>113</v>
      </c>
      <c r="S29" s="13">
        <v>70</v>
      </c>
      <c r="T29" s="13">
        <v>127</v>
      </c>
    </row>
    <row r="30" spans="1:25" ht="13">
      <c r="A30" s="34">
        <v>30</v>
      </c>
      <c r="B30" s="6" t="s">
        <v>278</v>
      </c>
      <c r="C30" s="7">
        <v>39330</v>
      </c>
      <c r="D30" s="6" t="s">
        <v>279</v>
      </c>
      <c r="E30" s="8">
        <v>0.67</v>
      </c>
      <c r="F30" s="17" t="e">
        <f ca="1">IF(LEFT(onde_tah(Tabela6[],Tabela2[[#This Row],[COD_LOJA]]),2) = "$Y","BRUNO","")</f>
        <v>#NAME?</v>
      </c>
      <c r="I30" s="29"/>
      <c r="J30" s="13">
        <v>152</v>
      </c>
      <c r="K30" s="13">
        <v>141</v>
      </c>
      <c r="L30" s="13">
        <v>172</v>
      </c>
      <c r="M30" s="13">
        <v>158</v>
      </c>
      <c r="N30" s="28">
        <v>186</v>
      </c>
      <c r="Q30" s="29"/>
      <c r="R30" s="13">
        <v>115</v>
      </c>
      <c r="S30" s="13">
        <v>71</v>
      </c>
      <c r="T30" s="13">
        <v>128</v>
      </c>
    </row>
    <row r="31" spans="1:25" ht="13">
      <c r="A31" s="34">
        <v>31</v>
      </c>
      <c r="B31" s="6" t="s">
        <v>280</v>
      </c>
      <c r="C31" s="7">
        <v>39338</v>
      </c>
      <c r="D31" s="6" t="s">
        <v>281</v>
      </c>
      <c r="E31" s="6"/>
      <c r="F31" s="17" t="e">
        <f ca="1">IF(LEFT(onde_tah(Tabela6[],Tabela2[[#This Row],[COD_LOJA]]),2) = "$Y","BRUNO","")</f>
        <v>#NAME?</v>
      </c>
      <c r="I31" s="29"/>
      <c r="J31" s="13">
        <v>156</v>
      </c>
      <c r="K31" s="13">
        <v>143</v>
      </c>
      <c r="L31" s="13">
        <v>176</v>
      </c>
      <c r="M31" s="13">
        <v>160</v>
      </c>
      <c r="N31" s="28"/>
      <c r="Q31" s="29"/>
      <c r="R31" s="13">
        <v>116</v>
      </c>
      <c r="S31" s="13">
        <v>74</v>
      </c>
      <c r="T31" s="13">
        <v>129</v>
      </c>
    </row>
    <row r="32" spans="1:25" ht="13">
      <c r="A32" s="34">
        <v>32</v>
      </c>
      <c r="B32" s="6" t="s">
        <v>282</v>
      </c>
      <c r="C32" s="7">
        <v>39338</v>
      </c>
      <c r="D32" s="6"/>
      <c r="E32" s="6"/>
      <c r="F32" s="17" t="e">
        <f ca="1">IF(LEFT(onde_tah(Tabela6[],Tabela2[[#This Row],[COD_LOJA]]),2) = "$Y","BRUNO","")</f>
        <v>#NAME?</v>
      </c>
      <c r="I32" s="29"/>
      <c r="J32" s="13">
        <v>161</v>
      </c>
      <c r="K32" s="13">
        <v>144</v>
      </c>
      <c r="L32" s="13">
        <v>180</v>
      </c>
      <c r="M32" s="13">
        <v>163</v>
      </c>
      <c r="N32" s="28"/>
      <c r="Q32" s="29"/>
      <c r="R32" s="13">
        <v>117</v>
      </c>
      <c r="S32" s="13">
        <v>75</v>
      </c>
      <c r="T32" s="13">
        <v>137</v>
      </c>
    </row>
    <row r="33" spans="1:20" ht="13">
      <c r="A33" s="34">
        <v>33</v>
      </c>
      <c r="B33" s="6" t="s">
        <v>283</v>
      </c>
      <c r="C33" s="7">
        <v>39394</v>
      </c>
      <c r="D33" s="6"/>
      <c r="E33" s="6"/>
      <c r="F33" s="17" t="e">
        <f ca="1">IF(LEFT(onde_tah(Tabela6[],Tabela2[[#This Row],[COD_LOJA]]),2) = "$Y","BRUNO","")</f>
        <v>#NAME?</v>
      </c>
      <c r="I33" s="29"/>
      <c r="J33" s="13">
        <v>165</v>
      </c>
      <c r="K33" s="13">
        <v>154</v>
      </c>
      <c r="L33" s="13">
        <v>183</v>
      </c>
      <c r="M33" s="13">
        <v>166</v>
      </c>
      <c r="N33" s="28"/>
      <c r="Q33" s="29"/>
      <c r="R33" s="13">
        <v>121</v>
      </c>
      <c r="S33" s="13">
        <v>81</v>
      </c>
      <c r="T33" s="13">
        <v>139</v>
      </c>
    </row>
    <row r="34" spans="1:20" ht="13">
      <c r="A34" s="34">
        <v>34</v>
      </c>
      <c r="B34" s="6" t="s">
        <v>284</v>
      </c>
      <c r="C34" s="7">
        <v>39476</v>
      </c>
      <c r="D34" s="6"/>
      <c r="E34" s="6"/>
      <c r="F34" s="17" t="e">
        <f ca="1">IF(LEFT(onde_tah(Tabela6[],Tabela2[[#This Row],[COD_LOJA]]),2) = "$Y","BRUNO","")</f>
        <v>#NAME?</v>
      </c>
      <c r="I34" s="29"/>
      <c r="J34" s="13">
        <v>177</v>
      </c>
      <c r="K34" s="13">
        <v>155</v>
      </c>
      <c r="L34" s="13">
        <v>184</v>
      </c>
      <c r="M34" s="13">
        <v>169</v>
      </c>
      <c r="N34" s="28"/>
      <c r="Q34" s="29"/>
      <c r="R34" s="13">
        <v>124</v>
      </c>
      <c r="S34" s="13">
        <v>82</v>
      </c>
      <c r="T34" s="13">
        <v>140</v>
      </c>
    </row>
    <row r="35" spans="1:20" ht="13">
      <c r="A35" s="34">
        <v>35</v>
      </c>
      <c r="B35" s="6" t="s">
        <v>285</v>
      </c>
      <c r="C35" s="7">
        <v>39501</v>
      </c>
      <c r="D35" s="6"/>
      <c r="E35" s="6"/>
      <c r="F35" s="17" t="e">
        <f ca="1">IF(LEFT(onde_tah(Tabela6[],Tabela2[[#This Row],[COD_LOJA]]),2) = "$Y","BRUNO","")</f>
        <v>#NAME?</v>
      </c>
      <c r="I35" s="29"/>
      <c r="J35" s="13">
        <v>179</v>
      </c>
      <c r="K35" s="13">
        <v>159</v>
      </c>
      <c r="L35" s="13">
        <v>185</v>
      </c>
      <c r="M35" s="13">
        <v>189</v>
      </c>
      <c r="N35" s="28"/>
      <c r="Q35" s="29"/>
      <c r="R35" s="13">
        <v>131</v>
      </c>
      <c r="S35" s="13">
        <v>84</v>
      </c>
      <c r="T35" s="13">
        <v>142</v>
      </c>
    </row>
    <row r="36" spans="1:20" ht="13">
      <c r="A36" s="34">
        <v>36</v>
      </c>
      <c r="B36" s="6" t="s">
        <v>286</v>
      </c>
      <c r="C36" s="7">
        <v>39585</v>
      </c>
      <c r="D36" s="6" t="s">
        <v>277</v>
      </c>
      <c r="E36" s="6"/>
      <c r="F36" s="17" t="e">
        <f ca="1">IF(LEFT(onde_tah(Tabela6[],Tabela2[[#This Row],[COD_LOJA]]),2) = "$Y","BRUNO","")</f>
        <v>#NAME?</v>
      </c>
      <c r="I36" s="29"/>
      <c r="J36" s="13">
        <v>181</v>
      </c>
      <c r="K36" s="13">
        <v>162</v>
      </c>
      <c r="L36" s="13">
        <v>187</v>
      </c>
      <c r="M36" s="13"/>
      <c r="N36" s="28"/>
      <c r="Q36" s="29"/>
      <c r="R36" s="13">
        <v>133</v>
      </c>
      <c r="S36" s="13">
        <v>90</v>
      </c>
      <c r="T36" s="13">
        <v>147</v>
      </c>
    </row>
    <row r="37" spans="1:20" ht="13">
      <c r="A37" s="34">
        <v>37</v>
      </c>
      <c r="B37" s="6" t="s">
        <v>287</v>
      </c>
      <c r="C37" s="7">
        <v>39662</v>
      </c>
      <c r="D37" s="6"/>
      <c r="E37" s="6"/>
      <c r="F37" s="17" t="e">
        <f ca="1">IF(LEFT(onde_tah(Tabela6[],Tabela2[[#This Row],[COD_LOJA]]),2) = "$Y","BRUNO","")</f>
        <v>#NAME?</v>
      </c>
      <c r="I37" s="21"/>
      <c r="J37" s="26"/>
      <c r="K37" s="26">
        <v>164</v>
      </c>
      <c r="L37" s="26"/>
      <c r="M37" s="26"/>
      <c r="N37" s="14"/>
      <c r="Q37" s="29"/>
      <c r="R37" s="13">
        <v>134</v>
      </c>
      <c r="S37" s="13">
        <v>95</v>
      </c>
      <c r="T37" s="13">
        <v>149</v>
      </c>
    </row>
    <row r="38" spans="1:20" ht="13">
      <c r="A38" s="34">
        <v>38</v>
      </c>
      <c r="B38" s="6" t="s">
        <v>288</v>
      </c>
      <c r="C38" s="7">
        <v>39700</v>
      </c>
      <c r="D38" s="6"/>
      <c r="E38" s="6"/>
      <c r="F38" s="17" t="e">
        <f ca="1">IF(LEFT(onde_tah(Tabela6[],Tabela2[[#This Row],[COD_LOJA]]),2) = "$Y","BRUNO","")</f>
        <v>#NAME?</v>
      </c>
      <c r="Q38" s="29"/>
      <c r="R38" s="13">
        <v>135</v>
      </c>
      <c r="S38" s="13">
        <v>97</v>
      </c>
      <c r="T38" s="13">
        <v>153</v>
      </c>
    </row>
    <row r="39" spans="1:20" ht="13">
      <c r="A39" s="34">
        <v>39</v>
      </c>
      <c r="B39" s="6" t="s">
        <v>289</v>
      </c>
      <c r="C39" s="7">
        <v>39746</v>
      </c>
      <c r="D39" s="6"/>
      <c r="E39" s="6"/>
      <c r="F39" s="17" t="e">
        <f ca="1">IF(LEFT(onde_tah(Tabela6[],Tabela2[[#This Row],[COD_LOJA]]),2) = "$Y","BRUNO","")</f>
        <v>#NAME?</v>
      </c>
      <c r="Q39" s="29"/>
      <c r="R39" s="13">
        <v>138</v>
      </c>
      <c r="S39" s="13">
        <v>98</v>
      </c>
      <c r="T39" s="13">
        <v>157</v>
      </c>
    </row>
    <row r="40" spans="1:20" ht="13">
      <c r="A40" s="34">
        <v>40</v>
      </c>
      <c r="B40" s="6" t="s">
        <v>290</v>
      </c>
      <c r="C40" s="7">
        <v>39822</v>
      </c>
      <c r="D40" s="6" t="s">
        <v>277</v>
      </c>
      <c r="E40" s="6"/>
      <c r="F40" s="17" t="e">
        <f ca="1">IF(LEFT(onde_tah(Tabela6[],Tabela2[[#This Row],[COD_LOJA]]),2) = "$Y","BRUNO","")</f>
        <v>#NAME?</v>
      </c>
      <c r="Q40" s="29"/>
      <c r="R40" s="13">
        <v>146</v>
      </c>
      <c r="S40" s="13">
        <v>105</v>
      </c>
      <c r="T40" s="13">
        <v>160</v>
      </c>
    </row>
    <row r="41" spans="1:20" ht="13">
      <c r="A41" s="34">
        <v>41</v>
      </c>
      <c r="B41" s="6" t="s">
        <v>291</v>
      </c>
      <c r="C41" s="7">
        <v>39797</v>
      </c>
      <c r="D41" s="6" t="s">
        <v>258</v>
      </c>
      <c r="E41" s="8">
        <v>1</v>
      </c>
      <c r="F41" s="17" t="e">
        <f ca="1">IF(LEFT(onde_tah(Tabela6[],Tabela2[[#This Row],[COD_LOJA]]),2) = "$Y","BRUNO","")</f>
        <v>#NAME?</v>
      </c>
      <c r="Q41" s="29"/>
      <c r="R41" s="13">
        <v>148</v>
      </c>
      <c r="S41" s="13">
        <v>106</v>
      </c>
      <c r="T41" s="13">
        <v>167</v>
      </c>
    </row>
    <row r="42" spans="1:20" ht="13">
      <c r="A42" s="34">
        <v>42</v>
      </c>
      <c r="B42" s="6" t="s">
        <v>292</v>
      </c>
      <c r="C42" s="7">
        <v>39881</v>
      </c>
      <c r="D42" s="6" t="s">
        <v>279</v>
      </c>
      <c r="E42" s="8">
        <v>0.5</v>
      </c>
      <c r="F42" s="17" t="e">
        <f ca="1">IF(LEFT(onde_tah(Tabela6[],Tabela2[[#This Row],[COD_LOJA]]),2) = "$Y","BRUNO","")</f>
        <v>#NAME?</v>
      </c>
      <c r="Q42" s="29"/>
      <c r="R42" s="13">
        <v>151</v>
      </c>
      <c r="S42" s="13">
        <v>107</v>
      </c>
      <c r="T42" s="13">
        <v>168</v>
      </c>
    </row>
    <row r="43" spans="1:20" ht="13">
      <c r="A43" s="34">
        <v>43</v>
      </c>
      <c r="B43" s="6" t="s">
        <v>293</v>
      </c>
      <c r="C43" s="7">
        <v>39855</v>
      </c>
      <c r="D43" s="6" t="s">
        <v>279</v>
      </c>
      <c r="E43" s="8">
        <v>0.33</v>
      </c>
      <c r="F43" s="17" t="e">
        <f ca="1">IF(LEFT(onde_tah(Tabela6[],Tabela2[[#This Row],[COD_LOJA]]),2) = "$Y","BRUNO","")</f>
        <v>#NAME?</v>
      </c>
      <c r="Q43" s="29"/>
      <c r="R43" s="13">
        <v>152</v>
      </c>
      <c r="S43" s="13">
        <v>108</v>
      </c>
      <c r="T43" s="13">
        <v>169</v>
      </c>
    </row>
    <row r="44" spans="1:20" ht="13">
      <c r="A44" s="34">
        <v>44</v>
      </c>
      <c r="B44" s="6" t="s">
        <v>294</v>
      </c>
      <c r="C44" s="7">
        <v>39857</v>
      </c>
      <c r="D44" s="6"/>
      <c r="E44" s="6"/>
      <c r="F44" s="17" t="e">
        <f ca="1">IF(LEFT(onde_tah(Tabela6[],Tabela2[[#This Row],[COD_LOJA]]),2) = "$Y","BRUNO","")</f>
        <v>#NAME?</v>
      </c>
      <c r="Q44" s="29"/>
      <c r="R44" s="13">
        <v>156</v>
      </c>
      <c r="S44" s="13">
        <v>119</v>
      </c>
      <c r="T44" s="13">
        <v>171</v>
      </c>
    </row>
    <row r="45" spans="1:20" ht="13">
      <c r="A45" s="34">
        <v>45</v>
      </c>
      <c r="B45" s="6" t="s">
        <v>295</v>
      </c>
      <c r="C45" s="7">
        <v>39864</v>
      </c>
      <c r="D45" s="6"/>
      <c r="E45" s="6"/>
      <c r="F45" s="17" t="e">
        <f ca="1">IF(LEFT(onde_tah(Tabela6[],Tabela2[[#This Row],[COD_LOJA]]),2) = "$Y","BRUNO","")</f>
        <v>#NAME?</v>
      </c>
      <c r="Q45" s="29"/>
      <c r="R45" s="13">
        <v>161</v>
      </c>
      <c r="S45" s="13">
        <v>120</v>
      </c>
      <c r="T45" s="13">
        <v>172</v>
      </c>
    </row>
    <row r="46" spans="1:20" ht="13">
      <c r="A46" s="34">
        <v>46</v>
      </c>
      <c r="B46" s="6" t="s">
        <v>296</v>
      </c>
      <c r="C46" s="7">
        <v>39888</v>
      </c>
      <c r="D46" s="6" t="s">
        <v>238</v>
      </c>
      <c r="E46" s="8">
        <v>1</v>
      </c>
      <c r="F46" s="17" t="e">
        <f ca="1">IF(LEFT(onde_tah(Tabela6[],Tabela2[[#This Row],[COD_LOJA]]),2) = "$Y","BRUNO","")</f>
        <v>#NAME?</v>
      </c>
      <c r="Q46" s="29"/>
      <c r="R46" s="13">
        <v>165</v>
      </c>
      <c r="S46" s="13">
        <v>122</v>
      </c>
      <c r="T46" s="13">
        <v>176</v>
      </c>
    </row>
    <row r="47" spans="1:20" ht="13">
      <c r="A47" s="34">
        <v>47</v>
      </c>
      <c r="B47" s="6" t="s">
        <v>297</v>
      </c>
      <c r="C47" s="7">
        <v>39986</v>
      </c>
      <c r="D47" s="6"/>
      <c r="E47" s="6"/>
      <c r="F47" s="17" t="e">
        <f ca="1">IF(LEFT(onde_tah(Tabela6[],Tabela2[[#This Row],[COD_LOJA]]),2) = "$Y","BRUNO","")</f>
        <v>#NAME?</v>
      </c>
      <c r="Q47" s="29"/>
      <c r="R47" s="13">
        <v>166</v>
      </c>
      <c r="S47" s="13">
        <v>123</v>
      </c>
      <c r="T47" s="13">
        <v>180</v>
      </c>
    </row>
    <row r="48" spans="1:20" ht="13">
      <c r="A48" s="34">
        <v>48</v>
      </c>
      <c r="B48" s="6" t="s">
        <v>298</v>
      </c>
      <c r="C48" s="7">
        <v>40057</v>
      </c>
      <c r="D48" s="6"/>
      <c r="E48" s="6"/>
      <c r="F48" s="17" t="e">
        <f ca="1">IF(LEFT(onde_tah(Tabela6[],Tabela2[[#This Row],[COD_LOJA]]),2) = "$Y","BRUNO","")</f>
        <v>#NAME?</v>
      </c>
      <c r="Q48" s="29"/>
      <c r="R48" s="13">
        <v>173</v>
      </c>
      <c r="S48" s="13">
        <v>126</v>
      </c>
      <c r="T48" s="13">
        <v>183</v>
      </c>
    </row>
    <row r="49" spans="1:20" ht="13">
      <c r="A49" s="34">
        <v>49</v>
      </c>
      <c r="B49" s="6" t="s">
        <v>299</v>
      </c>
      <c r="C49" s="7">
        <v>39994</v>
      </c>
      <c r="D49" s="6"/>
      <c r="E49" s="6"/>
      <c r="F49" s="17" t="e">
        <f ca="1">IF(LEFT(onde_tah(Tabela6[],Tabela2[[#This Row],[COD_LOJA]]),2) = "$Y","BRUNO","")</f>
        <v>#NAME?</v>
      </c>
      <c r="Q49" s="29"/>
      <c r="R49" s="13">
        <v>174</v>
      </c>
      <c r="S49" s="13">
        <v>130</v>
      </c>
      <c r="T49" s="13">
        <v>184</v>
      </c>
    </row>
    <row r="50" spans="1:20" ht="13">
      <c r="A50" s="34">
        <v>50</v>
      </c>
      <c r="B50" s="6" t="s">
        <v>300</v>
      </c>
      <c r="C50" s="7">
        <v>38969</v>
      </c>
      <c r="D50" s="6" t="s">
        <v>238</v>
      </c>
      <c r="E50" s="8">
        <v>1</v>
      </c>
      <c r="F50" s="17" t="e">
        <f ca="1">IF(LEFT(onde_tah(Tabela6[],Tabela2[[#This Row],[COD_LOJA]]),2) = "$Y","BRUNO","")</f>
        <v>#NAME?</v>
      </c>
      <c r="Q50" s="29"/>
      <c r="R50" s="13">
        <v>177</v>
      </c>
      <c r="S50" s="13">
        <v>132</v>
      </c>
      <c r="T50" s="13">
        <v>185</v>
      </c>
    </row>
    <row r="51" spans="1:20" ht="13">
      <c r="A51" s="34">
        <v>51</v>
      </c>
      <c r="B51" s="6" t="s">
        <v>301</v>
      </c>
      <c r="C51" s="7">
        <v>40081</v>
      </c>
      <c r="D51" s="6" t="s">
        <v>277</v>
      </c>
      <c r="E51" s="6"/>
      <c r="F51" s="17" t="e">
        <f ca="1">IF(LEFT(onde_tah(Tabela6[],Tabela2[[#This Row],[COD_LOJA]]),2) = "$Y","BRUNO","")</f>
        <v>#NAME?</v>
      </c>
      <c r="Q51" s="29"/>
      <c r="R51" s="13">
        <v>179</v>
      </c>
      <c r="S51" s="13">
        <v>136</v>
      </c>
      <c r="T51" s="13">
        <v>187</v>
      </c>
    </row>
    <row r="52" spans="1:20" ht="13">
      <c r="A52" s="34">
        <v>52</v>
      </c>
      <c r="B52" s="6" t="s">
        <v>302</v>
      </c>
      <c r="C52" s="7">
        <v>40088</v>
      </c>
      <c r="D52" s="6"/>
      <c r="E52" s="6"/>
      <c r="F52" s="17" t="e">
        <f ca="1">IF(LEFT(onde_tah(Tabela6[],Tabela2[[#This Row],[COD_LOJA]]),2) = "$Y","BRUNO","")</f>
        <v>#NAME?</v>
      </c>
      <c r="Q52" s="29"/>
      <c r="R52" s="13">
        <v>181</v>
      </c>
      <c r="S52" s="13">
        <v>141</v>
      </c>
      <c r="T52" s="13"/>
    </row>
    <row r="53" spans="1:20" ht="13">
      <c r="A53" s="34">
        <v>53</v>
      </c>
      <c r="B53" s="6" t="s">
        <v>303</v>
      </c>
      <c r="C53" s="7">
        <v>40151</v>
      </c>
      <c r="D53" s="6"/>
      <c r="E53" s="6"/>
      <c r="F53" s="17" t="e">
        <f ca="1">IF(LEFT(onde_tah(Tabela6[],Tabela2[[#This Row],[COD_LOJA]]),2) = "$Y","BRUNO","")</f>
        <v>#NAME?</v>
      </c>
      <c r="Q53" s="29"/>
      <c r="R53" s="13">
        <v>182</v>
      </c>
      <c r="S53" s="13">
        <v>143</v>
      </c>
      <c r="T53" s="13"/>
    </row>
    <row r="54" spans="1:20" ht="13">
      <c r="A54" s="34">
        <v>54</v>
      </c>
      <c r="B54" s="6" t="s">
        <v>304</v>
      </c>
      <c r="C54" s="7">
        <v>40136</v>
      </c>
      <c r="D54" s="6"/>
      <c r="E54" s="6"/>
      <c r="F54" s="17" t="e">
        <f ca="1">IF(LEFT(onde_tah(Tabela6[],Tabela2[[#This Row],[COD_LOJA]]),2) = "$Y","BRUNO","")</f>
        <v>#NAME?</v>
      </c>
      <c r="Q54" s="29"/>
      <c r="R54" s="13">
        <v>186</v>
      </c>
      <c r="S54" s="13">
        <v>144</v>
      </c>
      <c r="T54" s="13"/>
    </row>
    <row r="55" spans="1:20" ht="13">
      <c r="A55" s="34">
        <v>55</v>
      </c>
      <c r="B55" s="6" t="s">
        <v>305</v>
      </c>
      <c r="C55" s="7">
        <v>40165</v>
      </c>
      <c r="D55" s="6"/>
      <c r="E55" s="6"/>
      <c r="F55" s="17" t="e">
        <f ca="1">IF(LEFT(onde_tah(Tabela6[],Tabela2[[#This Row],[COD_LOJA]]),2) = "$Y","BRUNO","")</f>
        <v>#NAME?</v>
      </c>
      <c r="Q55" s="29"/>
      <c r="R55" s="13"/>
      <c r="S55" s="13">
        <v>154</v>
      </c>
      <c r="T55" s="13"/>
    </row>
    <row r="56" spans="1:20" ht="13">
      <c r="A56" s="34">
        <v>56</v>
      </c>
      <c r="B56" s="6" t="s">
        <v>306</v>
      </c>
      <c r="C56" s="7">
        <v>40151</v>
      </c>
      <c r="D56" s="6"/>
      <c r="E56" s="6"/>
      <c r="F56" s="17" t="e">
        <f ca="1">IF(LEFT(onde_tah(Tabela6[],Tabela2[[#This Row],[COD_LOJA]]),2) = "$Y","BRUNO","")</f>
        <v>#NAME?</v>
      </c>
      <c r="Q56" s="29"/>
      <c r="R56" s="13"/>
      <c r="S56" s="13">
        <v>155</v>
      </c>
      <c r="T56" s="13"/>
    </row>
    <row r="57" spans="1:20" ht="13">
      <c r="A57" s="34">
        <v>57</v>
      </c>
      <c r="B57" s="6" t="s">
        <v>307</v>
      </c>
      <c r="C57" s="7">
        <v>40182</v>
      </c>
      <c r="D57" s="6" t="s">
        <v>275</v>
      </c>
      <c r="E57" s="6"/>
      <c r="F57" s="17" t="e">
        <f ca="1">IF(LEFT(onde_tah(Tabela6[],Tabela2[[#This Row],[COD_LOJA]]),2) = "$Y","BRUNO","")</f>
        <v>#NAME?</v>
      </c>
      <c r="Q57" s="29"/>
      <c r="R57" s="13"/>
      <c r="S57" s="13">
        <v>158</v>
      </c>
      <c r="T57" s="13"/>
    </row>
    <row r="58" spans="1:20" ht="13">
      <c r="A58" s="34">
        <v>58</v>
      </c>
      <c r="B58" s="6" t="s">
        <v>308</v>
      </c>
      <c r="C58" s="7">
        <v>40073</v>
      </c>
      <c r="D58" s="6" t="s">
        <v>275</v>
      </c>
      <c r="E58" s="6"/>
      <c r="F58" s="17" t="e">
        <f ca="1">IF(LEFT(onde_tah(Tabela6[],Tabela2[[#This Row],[COD_LOJA]]),2) = "$Y","BRUNO","")</f>
        <v>#NAME?</v>
      </c>
      <c r="Q58" s="29"/>
      <c r="R58" s="13"/>
      <c r="S58" s="13">
        <v>159</v>
      </c>
      <c r="T58" s="13"/>
    </row>
    <row r="59" spans="1:20" ht="13">
      <c r="A59" s="34">
        <v>59</v>
      </c>
      <c r="B59" s="6" t="s">
        <v>309</v>
      </c>
      <c r="C59" s="7">
        <v>40260</v>
      </c>
      <c r="D59" s="6" t="s">
        <v>281</v>
      </c>
      <c r="E59" s="6"/>
      <c r="F59" s="17" t="e">
        <f ca="1">IF(LEFT(onde_tah(Tabela6[],Tabela2[[#This Row],[COD_LOJA]]),2) = "$Y","BRUNO","")</f>
        <v>#NAME?</v>
      </c>
      <c r="Q59" s="29"/>
      <c r="R59" s="13"/>
      <c r="S59" s="13">
        <v>162</v>
      </c>
      <c r="T59" s="13"/>
    </row>
    <row r="60" spans="1:20" ht="13">
      <c r="A60" s="34">
        <v>60</v>
      </c>
      <c r="B60" s="6" t="s">
        <v>310</v>
      </c>
      <c r="C60" s="7">
        <v>40200</v>
      </c>
      <c r="D60" s="6"/>
      <c r="E60" s="6"/>
      <c r="F60" s="17" t="e">
        <f ca="1">IF(LEFT(onde_tah(Tabela6[],Tabela2[[#This Row],[COD_LOJA]]),2) = "$Y","BRUNO","")</f>
        <v>#NAME?</v>
      </c>
      <c r="Q60" s="29"/>
      <c r="R60" s="13"/>
      <c r="S60" s="13">
        <v>163</v>
      </c>
      <c r="T60" s="13"/>
    </row>
    <row r="61" spans="1:20" ht="13">
      <c r="A61" s="34">
        <v>61</v>
      </c>
      <c r="B61" s="6" t="s">
        <v>311</v>
      </c>
      <c r="C61" s="7">
        <v>40203</v>
      </c>
      <c r="D61" s="6"/>
      <c r="E61" s="6"/>
      <c r="F61" s="17" t="e">
        <f ca="1">IF(LEFT(onde_tah(Tabela6[],Tabela2[[#This Row],[COD_LOJA]]),2) = "$Y","BRUNO","")</f>
        <v>#NAME?</v>
      </c>
      <c r="Q61" s="29"/>
      <c r="R61" s="13"/>
      <c r="S61" s="13">
        <v>164</v>
      </c>
      <c r="T61" s="13"/>
    </row>
    <row r="62" spans="1:20" ht="13">
      <c r="A62" s="34">
        <v>62</v>
      </c>
      <c r="B62" s="6" t="s">
        <v>312</v>
      </c>
      <c r="C62" s="7">
        <v>40290</v>
      </c>
      <c r="D62" s="6" t="s">
        <v>238</v>
      </c>
      <c r="E62" s="8">
        <v>1</v>
      </c>
      <c r="F62" s="17" t="e">
        <f ca="1">IF(LEFT(onde_tah(Tabela6[],Tabela2[[#This Row],[COD_LOJA]]),2) = "$Y","BRUNO","")</f>
        <v>#NAME?</v>
      </c>
      <c r="Q62" s="29"/>
      <c r="R62" s="13"/>
      <c r="S62" s="13">
        <v>175</v>
      </c>
      <c r="T62" s="13"/>
    </row>
    <row r="63" spans="1:20" ht="13">
      <c r="A63" s="34">
        <v>63</v>
      </c>
      <c r="B63" s="6" t="s">
        <v>313</v>
      </c>
      <c r="C63" s="7">
        <v>40288</v>
      </c>
      <c r="D63" s="6"/>
      <c r="E63" s="6"/>
      <c r="F63" s="17" t="e">
        <f ca="1">IF(LEFT(onde_tah(Tabela6[],Tabela2[[#This Row],[COD_LOJA]]),2) = "$Y","BRUNO","")</f>
        <v>#NAME?</v>
      </c>
      <c r="Q63" s="21"/>
      <c r="R63" s="26"/>
      <c r="S63" s="26">
        <v>178</v>
      </c>
      <c r="T63" s="26"/>
    </row>
    <row r="64" spans="1:20" ht="13">
      <c r="A64" s="34">
        <v>64</v>
      </c>
      <c r="B64" s="6" t="s">
        <v>314</v>
      </c>
      <c r="C64" s="7">
        <v>40344</v>
      </c>
      <c r="D64" s="6" t="s">
        <v>258</v>
      </c>
      <c r="E64" s="8">
        <v>1</v>
      </c>
      <c r="F64" s="17" t="e">
        <f ca="1">IF(LEFT(onde_tah(Tabela6[],Tabela2[[#This Row],[COD_LOJA]]),2) = "$Y","BRUNO","")</f>
        <v>#NAME?</v>
      </c>
      <c r="Q64" s="21"/>
      <c r="R64" s="26"/>
      <c r="S64" s="26">
        <v>189</v>
      </c>
      <c r="T64" s="26"/>
    </row>
    <row r="65" spans="1:6" ht="13">
      <c r="A65" s="34">
        <v>65</v>
      </c>
      <c r="B65" s="6" t="s">
        <v>315</v>
      </c>
      <c r="C65" s="7">
        <v>40350</v>
      </c>
      <c r="D65" s="6"/>
      <c r="E65" s="6"/>
      <c r="F65" s="17" t="e">
        <f ca="1">IF(LEFT(onde_tah(Tabela6[],Tabela2[[#This Row],[COD_LOJA]]),2) = "$Y","BRUNO","")</f>
        <v>#NAME?</v>
      </c>
    </row>
    <row r="66" spans="1:6" ht="13">
      <c r="A66" s="34">
        <v>66</v>
      </c>
      <c r="B66" s="6" t="s">
        <v>316</v>
      </c>
      <c r="C66" s="7">
        <v>40427</v>
      </c>
      <c r="D66" s="6"/>
      <c r="E66" s="6"/>
      <c r="F66" s="17" t="e">
        <f ca="1">IF(LEFT(onde_tah(Tabela6[],Tabela2[[#This Row],[COD_LOJA]]),2) = "$Y","BRUNO","")</f>
        <v>#NAME?</v>
      </c>
    </row>
    <row r="67" spans="1:6" ht="13">
      <c r="A67" s="34">
        <v>67</v>
      </c>
      <c r="B67" s="6" t="s">
        <v>317</v>
      </c>
      <c r="C67" s="7">
        <v>40315</v>
      </c>
      <c r="D67" s="6" t="s">
        <v>258</v>
      </c>
      <c r="E67" s="8">
        <v>1</v>
      </c>
      <c r="F67" s="17" t="e">
        <f ca="1">IF(LEFT(onde_tah(Tabela6[],Tabela2[[#This Row],[COD_LOJA]]),2) = "$Y","BRUNO","")</f>
        <v>#NAME?</v>
      </c>
    </row>
    <row r="68" spans="1:6" ht="13">
      <c r="A68" s="34">
        <v>68</v>
      </c>
      <c r="B68" s="6" t="s">
        <v>318</v>
      </c>
      <c r="C68" s="7">
        <v>40378</v>
      </c>
      <c r="D68" s="6" t="s">
        <v>277</v>
      </c>
      <c r="E68" s="6"/>
      <c r="F68" s="17" t="e">
        <f ca="1">IF(LEFT(onde_tah(Tabela6[],Tabela2[[#This Row],[COD_LOJA]]),2) = "$Y","BRUNO","")</f>
        <v>#NAME?</v>
      </c>
    </row>
    <row r="69" spans="1:6" ht="13">
      <c r="A69" s="34">
        <v>69</v>
      </c>
      <c r="B69" s="6" t="s">
        <v>319</v>
      </c>
      <c r="C69" s="7">
        <v>40637</v>
      </c>
      <c r="D69" s="6"/>
      <c r="E69" s="6"/>
      <c r="F69" s="17" t="e">
        <f ca="1">IF(LEFT(onde_tah(Tabela6[],Tabela2[[#This Row],[COD_LOJA]]),2) = "$Y","BRUNO","")</f>
        <v>#NAME?</v>
      </c>
    </row>
    <row r="70" spans="1:6" ht="13">
      <c r="A70" s="34">
        <v>70</v>
      </c>
      <c r="B70" s="6" t="s">
        <v>320</v>
      </c>
      <c r="C70" s="7">
        <v>40390</v>
      </c>
      <c r="D70" s="6"/>
      <c r="E70" s="6"/>
      <c r="F70" s="17" t="e">
        <f ca="1">IF(LEFT(onde_tah(Tabela6[],Tabela2[[#This Row],[COD_LOJA]]),2) = "$Y","BRUNO","")</f>
        <v>#NAME?</v>
      </c>
    </row>
    <row r="71" spans="1:6" ht="13">
      <c r="A71" s="34">
        <v>71</v>
      </c>
      <c r="B71" s="6" t="s">
        <v>321</v>
      </c>
      <c r="C71" s="7">
        <v>40456</v>
      </c>
      <c r="D71" s="6"/>
      <c r="E71" s="6"/>
      <c r="F71" s="17" t="e">
        <f ca="1">IF(LEFT(onde_tah(Tabela6[],Tabela2[[#This Row],[COD_LOJA]]),2) = "$Y","BRUNO","")</f>
        <v>#NAME?</v>
      </c>
    </row>
    <row r="72" spans="1:6" ht="13">
      <c r="A72" s="34">
        <v>72</v>
      </c>
      <c r="B72" s="6" t="s">
        <v>322</v>
      </c>
      <c r="C72" s="7">
        <v>40420</v>
      </c>
      <c r="D72" s="6"/>
      <c r="E72" s="6"/>
      <c r="F72" s="17" t="e">
        <f ca="1">IF(LEFT(onde_tah(Tabela6[],Tabela2[[#This Row],[COD_LOJA]]),2) = "$Y","BRUNO","")</f>
        <v>#NAME?</v>
      </c>
    </row>
    <row r="73" spans="1:6" ht="13">
      <c r="A73" s="34">
        <v>73</v>
      </c>
      <c r="B73" s="6" t="s">
        <v>323</v>
      </c>
      <c r="C73" s="7">
        <v>40444</v>
      </c>
      <c r="D73" s="6"/>
      <c r="E73" s="6"/>
      <c r="F73" s="17" t="e">
        <f ca="1">IF(LEFT(onde_tah(Tabela6[],Tabela2[[#This Row],[COD_LOJA]]),2) = "$Y","BRUNO","")</f>
        <v>#NAME?</v>
      </c>
    </row>
    <row r="74" spans="1:6" ht="13">
      <c r="A74" s="34">
        <v>74</v>
      </c>
      <c r="B74" s="6" t="s">
        <v>324</v>
      </c>
      <c r="C74" s="7">
        <v>40392</v>
      </c>
      <c r="D74" s="6"/>
      <c r="E74" s="6"/>
      <c r="F74" s="17" t="e">
        <f ca="1">IF(LEFT(onde_tah(Tabela6[],Tabela2[[#This Row],[COD_LOJA]]),2) = "$Y","BRUNO","")</f>
        <v>#NAME?</v>
      </c>
    </row>
    <row r="75" spans="1:6" ht="13">
      <c r="A75" s="34">
        <v>75</v>
      </c>
      <c r="B75" s="6" t="s">
        <v>325</v>
      </c>
      <c r="C75" s="7">
        <v>40469</v>
      </c>
      <c r="D75" s="6"/>
      <c r="E75" s="6"/>
      <c r="F75" s="17" t="e">
        <f ca="1">IF(LEFT(onde_tah(Tabela6[],Tabela2[[#This Row],[COD_LOJA]]),2) = "$Y","BRUNO","")</f>
        <v>#NAME?</v>
      </c>
    </row>
    <row r="76" spans="1:6" ht="13">
      <c r="A76" s="34">
        <v>77</v>
      </c>
      <c r="B76" s="6" t="s">
        <v>326</v>
      </c>
      <c r="C76" s="7">
        <v>41699</v>
      </c>
      <c r="D76" s="6" t="s">
        <v>238</v>
      </c>
      <c r="E76" s="8">
        <v>1</v>
      </c>
      <c r="F76" s="17" t="e">
        <f ca="1">IF(LEFT(onde_tah(Tabela6[],Tabela2[[#This Row],[COD_LOJA]]),2) = "$Y","BRUNO","")</f>
        <v>#NAME?</v>
      </c>
    </row>
    <row r="77" spans="1:6" ht="13">
      <c r="A77" s="34">
        <v>78</v>
      </c>
      <c r="B77" s="6" t="s">
        <v>327</v>
      </c>
      <c r="C77" s="7">
        <v>40466</v>
      </c>
      <c r="D77" s="6" t="s">
        <v>258</v>
      </c>
      <c r="E77" s="8">
        <v>1</v>
      </c>
      <c r="F77" s="17" t="e">
        <f ca="1">IF(LEFT(onde_tah(Tabela6[],Tabela2[[#This Row],[COD_LOJA]]),2) = "$Y","BRUNO","")</f>
        <v>#NAME?</v>
      </c>
    </row>
    <row r="78" spans="1:6" ht="13">
      <c r="A78" s="34">
        <v>79</v>
      </c>
      <c r="B78" s="6" t="s">
        <v>328</v>
      </c>
      <c r="C78" s="7">
        <v>40532</v>
      </c>
      <c r="D78" s="6"/>
      <c r="E78" s="6"/>
      <c r="F78" s="17" t="e">
        <f ca="1">IF(LEFT(onde_tah(Tabela6[],Tabela2[[#This Row],[COD_LOJA]]),2) = "$Y","BRUNO","")</f>
        <v>#NAME?</v>
      </c>
    </row>
    <row r="79" spans="1:6" ht="13">
      <c r="A79" s="34">
        <v>80</v>
      </c>
      <c r="B79" s="6" t="s">
        <v>329</v>
      </c>
      <c r="C79" s="7">
        <v>40623</v>
      </c>
      <c r="D79" s="6"/>
      <c r="E79" s="6"/>
      <c r="F79" s="17" t="e">
        <f ca="1">IF(LEFT(onde_tah(Tabela6[],Tabela2[[#This Row],[COD_LOJA]]),2) = "$Y","BRUNO","")</f>
        <v>#NAME?</v>
      </c>
    </row>
    <row r="80" spans="1:6" ht="13">
      <c r="A80" s="34">
        <v>81</v>
      </c>
      <c r="B80" s="6" t="s">
        <v>330</v>
      </c>
      <c r="C80" s="7">
        <v>40616</v>
      </c>
      <c r="D80" s="6"/>
      <c r="E80" s="6"/>
      <c r="F80" s="17" t="e">
        <f ca="1">IF(LEFT(onde_tah(Tabela6[],Tabela2[[#This Row],[COD_LOJA]]),2) = "$Y","BRUNO","")</f>
        <v>#NAME?</v>
      </c>
    </row>
    <row r="81" spans="1:6" ht="13">
      <c r="A81" s="34">
        <v>82</v>
      </c>
      <c r="B81" s="6" t="s">
        <v>331</v>
      </c>
      <c r="C81" s="7">
        <v>40807</v>
      </c>
      <c r="D81" s="6"/>
      <c r="E81" s="6"/>
      <c r="F81" s="17" t="e">
        <f ca="1">IF(LEFT(onde_tah(Tabela6[],Tabela2[[#This Row],[COD_LOJA]]),2) = "$Y","BRUNO","")</f>
        <v>#NAME?</v>
      </c>
    </row>
    <row r="82" spans="1:6" ht="13">
      <c r="A82" s="34">
        <v>83</v>
      </c>
      <c r="B82" s="6" t="s">
        <v>332</v>
      </c>
      <c r="C82" s="7">
        <v>40651</v>
      </c>
      <c r="D82" s="6" t="s">
        <v>238</v>
      </c>
      <c r="E82" s="8">
        <v>1</v>
      </c>
      <c r="F82" s="17" t="e">
        <f ca="1">IF(LEFT(onde_tah(Tabela6[],Tabela2[[#This Row],[COD_LOJA]]),2) = "$Y","BRUNO","")</f>
        <v>#NAME?</v>
      </c>
    </row>
    <row r="83" spans="1:6" ht="13">
      <c r="A83" s="34">
        <v>84</v>
      </c>
      <c r="B83" s="6" t="s">
        <v>333</v>
      </c>
      <c r="C83" s="7">
        <v>40644</v>
      </c>
      <c r="D83" s="6"/>
      <c r="E83" s="6"/>
      <c r="F83" s="17" t="e">
        <f ca="1">IF(LEFT(onde_tah(Tabela6[],Tabela2[[#This Row],[COD_LOJA]]),2) = "$Y","BRUNO","")</f>
        <v>#NAME?</v>
      </c>
    </row>
    <row r="84" spans="1:6" ht="13">
      <c r="A84" s="34">
        <v>85</v>
      </c>
      <c r="B84" s="6" t="s">
        <v>334</v>
      </c>
      <c r="C84" s="7">
        <v>40630</v>
      </c>
      <c r="D84" s="6"/>
      <c r="E84" s="6"/>
      <c r="F84" s="17" t="e">
        <f ca="1">IF(LEFT(onde_tah(Tabela6[],Tabela2[[#This Row],[COD_LOJA]]),2) = "$Y","BRUNO","")</f>
        <v>#NAME?</v>
      </c>
    </row>
    <row r="85" spans="1:6" ht="13">
      <c r="A85" s="34">
        <v>86</v>
      </c>
      <c r="B85" s="6" t="s">
        <v>335</v>
      </c>
      <c r="C85" s="7">
        <v>40679</v>
      </c>
      <c r="D85" s="6" t="s">
        <v>238</v>
      </c>
      <c r="E85" s="8">
        <v>1</v>
      </c>
      <c r="F85" s="17" t="e">
        <f ca="1">IF(LEFT(onde_tah(Tabela6[],Tabela2[[#This Row],[COD_LOJA]]),2) = "$Y","BRUNO","")</f>
        <v>#NAME?</v>
      </c>
    </row>
    <row r="86" spans="1:6" ht="13">
      <c r="A86" s="34">
        <v>87</v>
      </c>
      <c r="B86" s="6" t="s">
        <v>336</v>
      </c>
      <c r="C86" s="7">
        <v>40672</v>
      </c>
      <c r="D86" s="6"/>
      <c r="E86" s="6"/>
      <c r="F86" s="17" t="e">
        <f ca="1">IF(LEFT(onde_tah(Tabela6[],Tabela2[[#This Row],[COD_LOJA]]),2) = "$Y","BRUNO","")</f>
        <v>#NAME?</v>
      </c>
    </row>
    <row r="87" spans="1:6" ht="13">
      <c r="A87" s="34">
        <v>88</v>
      </c>
      <c r="B87" s="6" t="s">
        <v>337</v>
      </c>
      <c r="C87" s="7">
        <v>40705</v>
      </c>
      <c r="D87" s="6"/>
      <c r="E87" s="6"/>
      <c r="F87" s="17" t="e">
        <f ca="1">IF(LEFT(onde_tah(Tabela6[],Tabela2[[#This Row],[COD_LOJA]]),2) = "$Y","BRUNO","")</f>
        <v>#NAME?</v>
      </c>
    </row>
    <row r="88" spans="1:6" ht="13">
      <c r="A88" s="34">
        <v>89</v>
      </c>
      <c r="B88" s="6" t="s">
        <v>338</v>
      </c>
      <c r="C88" s="7">
        <v>40716</v>
      </c>
      <c r="D88" s="6"/>
      <c r="E88" s="6"/>
      <c r="F88" s="17" t="e">
        <f ca="1">IF(LEFT(onde_tah(Tabela6[],Tabela2[[#This Row],[COD_LOJA]]),2) = "$Y","BRUNO","")</f>
        <v>#NAME?</v>
      </c>
    </row>
    <row r="89" spans="1:6" ht="13">
      <c r="A89" s="34">
        <v>90</v>
      </c>
      <c r="B89" s="6" t="s">
        <v>339</v>
      </c>
      <c r="C89" s="7">
        <v>40749</v>
      </c>
      <c r="D89" s="6"/>
      <c r="E89" s="6"/>
      <c r="F89" s="17" t="e">
        <f ca="1">IF(LEFT(onde_tah(Tabela6[],Tabela2[[#This Row],[COD_LOJA]]),2) = "$Y","BRUNO","")</f>
        <v>#NAME?</v>
      </c>
    </row>
    <row r="90" spans="1:6" ht="13">
      <c r="A90" s="34">
        <v>91</v>
      </c>
      <c r="B90" s="6" t="s">
        <v>340</v>
      </c>
      <c r="C90" s="7">
        <v>40859</v>
      </c>
      <c r="D90" s="6"/>
      <c r="E90" s="6"/>
      <c r="F90" s="17" t="e">
        <f ca="1">IF(LEFT(onde_tah(Tabela6[],Tabela2[[#This Row],[COD_LOJA]]),2) = "$Y","BRUNO","")</f>
        <v>#NAME?</v>
      </c>
    </row>
    <row r="91" spans="1:6" ht="13">
      <c r="A91" s="34">
        <v>92</v>
      </c>
      <c r="B91" s="6" t="s">
        <v>341</v>
      </c>
      <c r="C91" s="7">
        <v>40789</v>
      </c>
      <c r="D91" s="6" t="s">
        <v>279</v>
      </c>
      <c r="E91" s="8">
        <v>0.5</v>
      </c>
      <c r="F91" s="17" t="e">
        <f ca="1">IF(LEFT(onde_tah(Tabela6[],Tabela2[[#This Row],[COD_LOJA]]),2) = "$Y","BRUNO","")</f>
        <v>#NAME?</v>
      </c>
    </row>
    <row r="92" spans="1:6" ht="13">
      <c r="A92" s="34">
        <v>93</v>
      </c>
      <c r="B92" s="6" t="s">
        <v>342</v>
      </c>
      <c r="C92" s="7">
        <v>40825</v>
      </c>
      <c r="D92" s="6" t="s">
        <v>277</v>
      </c>
      <c r="E92" s="6"/>
      <c r="F92" s="17" t="e">
        <f ca="1">IF(LEFT(onde_tah(Tabela6[],Tabela2[[#This Row],[COD_LOJA]]),2) = "$Y","BRUNO","")</f>
        <v>#NAME?</v>
      </c>
    </row>
    <row r="93" spans="1:6" ht="13">
      <c r="A93" s="34">
        <v>94</v>
      </c>
      <c r="B93" s="6" t="s">
        <v>343</v>
      </c>
      <c r="C93" s="7">
        <v>40868</v>
      </c>
      <c r="D93" s="6"/>
      <c r="E93" s="6"/>
      <c r="F93" s="17" t="e">
        <f ca="1">IF(LEFT(onde_tah(Tabela6[],Tabela2[[#This Row],[COD_LOJA]]),2) = "$Y","BRUNO","")</f>
        <v>#NAME?</v>
      </c>
    </row>
    <row r="94" spans="1:6" ht="13">
      <c r="A94" s="34">
        <v>95</v>
      </c>
      <c r="B94" s="6" t="s">
        <v>344</v>
      </c>
      <c r="C94" s="7">
        <v>40866</v>
      </c>
      <c r="D94" s="6"/>
      <c r="E94" s="6"/>
      <c r="F94" s="17" t="e">
        <f ca="1">IF(LEFT(onde_tah(Tabela6[],Tabela2[[#This Row],[COD_LOJA]]),2) = "$Y","BRUNO","")</f>
        <v>#NAME?</v>
      </c>
    </row>
    <row r="95" spans="1:6" ht="13">
      <c r="A95" s="34">
        <v>96</v>
      </c>
      <c r="B95" s="6" t="s">
        <v>345</v>
      </c>
      <c r="C95" s="7">
        <v>40894</v>
      </c>
      <c r="D95" s="6"/>
      <c r="E95" s="6"/>
      <c r="F95" s="17" t="e">
        <f ca="1">IF(LEFT(onde_tah(Tabela6[],Tabela2[[#This Row],[COD_LOJA]]),2) = "$Y","BRUNO","")</f>
        <v>#NAME?</v>
      </c>
    </row>
    <row r="96" spans="1:6" ht="13">
      <c r="A96" s="34">
        <v>97</v>
      </c>
      <c r="B96" s="6" t="s">
        <v>346</v>
      </c>
      <c r="C96" s="7">
        <v>40863</v>
      </c>
      <c r="D96" s="6"/>
      <c r="E96" s="6"/>
      <c r="F96" s="17" t="e">
        <f ca="1">IF(LEFT(onde_tah(Tabela6[],Tabela2[[#This Row],[COD_LOJA]]),2) = "$Y","BRUNO","")</f>
        <v>#NAME?</v>
      </c>
    </row>
    <row r="97" spans="1:6" ht="13">
      <c r="A97" s="34">
        <v>98</v>
      </c>
      <c r="B97" s="6" t="s">
        <v>347</v>
      </c>
      <c r="C97" s="7">
        <v>40854</v>
      </c>
      <c r="D97" s="6"/>
      <c r="E97" s="6"/>
      <c r="F97" s="17" t="e">
        <f ca="1">IF(LEFT(onde_tah(Tabela6[],Tabela2[[#This Row],[COD_LOJA]]),2) = "$Y","BRUNO","")</f>
        <v>#NAME?</v>
      </c>
    </row>
    <row r="98" spans="1:6" ht="13">
      <c r="A98" s="34">
        <v>99</v>
      </c>
      <c r="B98" s="6" t="s">
        <v>348</v>
      </c>
      <c r="C98" s="7">
        <v>40865</v>
      </c>
      <c r="D98" s="6"/>
      <c r="E98" s="6"/>
      <c r="F98" s="17" t="e">
        <f ca="1">IF(LEFT(onde_tah(Tabela6[],Tabela2[[#This Row],[COD_LOJA]]),2) = "$Y","BRUNO","")</f>
        <v>#NAME?</v>
      </c>
    </row>
    <row r="99" spans="1:6" ht="13">
      <c r="A99" s="34">
        <v>100</v>
      </c>
      <c r="B99" s="6" t="s">
        <v>349</v>
      </c>
      <c r="C99" s="7">
        <v>40912</v>
      </c>
      <c r="D99" s="6" t="s">
        <v>258</v>
      </c>
      <c r="E99" s="8">
        <v>1</v>
      </c>
      <c r="F99" s="17" t="e">
        <f ca="1">IF(LEFT(onde_tah(Tabela6[],Tabela2[[#This Row],[COD_LOJA]]),2) = "$Y","BRUNO","")</f>
        <v>#NAME?</v>
      </c>
    </row>
    <row r="100" spans="1:6" ht="13">
      <c r="A100" s="34">
        <v>101</v>
      </c>
      <c r="B100" s="6" t="s">
        <v>350</v>
      </c>
      <c r="C100" s="7">
        <v>40941</v>
      </c>
      <c r="D100" s="6"/>
      <c r="E100" s="6"/>
      <c r="F100" s="17" t="e">
        <f ca="1">IF(LEFT(onde_tah(Tabela6[],Tabela2[[#This Row],[COD_LOJA]]),2) = "$Y","BRUNO","")</f>
        <v>#NAME?</v>
      </c>
    </row>
    <row r="101" spans="1:6" ht="13">
      <c r="A101" s="34">
        <v>102</v>
      </c>
      <c r="B101" s="6" t="s">
        <v>351</v>
      </c>
      <c r="C101" s="7">
        <v>40875</v>
      </c>
      <c r="D101" s="6"/>
      <c r="E101" s="6"/>
      <c r="F101" s="17" t="e">
        <f ca="1">IF(LEFT(onde_tah(Tabela6[],Tabela2[[#This Row],[COD_LOJA]]),2) = "$Y","BRUNO","")</f>
        <v>#NAME?</v>
      </c>
    </row>
    <row r="102" spans="1:6" ht="13">
      <c r="A102" s="34">
        <v>103</v>
      </c>
      <c r="B102" s="6" t="s">
        <v>352</v>
      </c>
      <c r="C102" s="7">
        <v>40935</v>
      </c>
      <c r="D102" s="6"/>
      <c r="E102" s="6"/>
      <c r="F102" s="17" t="e">
        <f ca="1">IF(LEFT(onde_tah(Tabela6[],Tabela2[[#This Row],[COD_LOJA]]),2) = "$Y","BRUNO","")</f>
        <v>#NAME?</v>
      </c>
    </row>
    <row r="103" spans="1:6" ht="13">
      <c r="A103" s="34">
        <v>104</v>
      </c>
      <c r="B103" s="6" t="s">
        <v>353</v>
      </c>
      <c r="C103" s="7">
        <v>40942</v>
      </c>
      <c r="D103" s="6"/>
      <c r="E103" s="6"/>
      <c r="F103" s="17" t="e">
        <f ca="1">IF(LEFT(onde_tah(Tabela6[],Tabela2[[#This Row],[COD_LOJA]]),2) = "$Y","BRUNO","")</f>
        <v>#NAME?</v>
      </c>
    </row>
    <row r="104" spans="1:6" ht="13">
      <c r="A104" s="34">
        <v>105</v>
      </c>
      <c r="B104" s="6" t="s">
        <v>354</v>
      </c>
      <c r="C104" s="7">
        <v>40972</v>
      </c>
      <c r="D104" s="6"/>
      <c r="E104" s="6"/>
      <c r="F104" s="17" t="e">
        <f ca="1">IF(LEFT(onde_tah(Tabela6[],Tabela2[[#This Row],[COD_LOJA]]),2) = "$Y","BRUNO","")</f>
        <v>#NAME?</v>
      </c>
    </row>
    <row r="105" spans="1:6" ht="13">
      <c r="A105" s="34">
        <v>106</v>
      </c>
      <c r="B105" s="6" t="s">
        <v>355</v>
      </c>
      <c r="C105" s="7">
        <v>40969</v>
      </c>
      <c r="D105" s="6"/>
      <c r="E105" s="6"/>
      <c r="F105" s="17" t="e">
        <f ca="1">IF(LEFT(onde_tah(Tabela6[],Tabela2[[#This Row],[COD_LOJA]]),2) = "$Y","BRUNO","")</f>
        <v>#NAME?</v>
      </c>
    </row>
    <row r="106" spans="1:6" ht="13">
      <c r="A106" s="34">
        <v>107</v>
      </c>
      <c r="B106" s="6" t="s">
        <v>356</v>
      </c>
      <c r="C106" s="7">
        <v>40922</v>
      </c>
      <c r="D106" s="6" t="s">
        <v>246</v>
      </c>
      <c r="E106" s="6"/>
      <c r="F106" s="17" t="e">
        <f ca="1">IF(LEFT(onde_tah(Tabela6[],Tabela2[[#This Row],[COD_LOJA]]),2) = "$Y","BRUNO","")</f>
        <v>#NAME?</v>
      </c>
    </row>
    <row r="107" spans="1:6" ht="13">
      <c r="A107" s="34">
        <v>108</v>
      </c>
      <c r="B107" s="6" t="s">
        <v>357</v>
      </c>
      <c r="C107" s="7">
        <v>41092</v>
      </c>
      <c r="D107" s="6" t="s">
        <v>275</v>
      </c>
      <c r="E107" s="6"/>
      <c r="F107" s="17" t="e">
        <f ca="1">IF(LEFT(onde_tah(Tabela6[],Tabela2[[#This Row],[COD_LOJA]]),2) = "$Y","BRUNO","")</f>
        <v>#NAME?</v>
      </c>
    </row>
    <row r="108" spans="1:6" ht="13">
      <c r="A108" s="34">
        <v>109</v>
      </c>
      <c r="B108" s="6" t="s">
        <v>358</v>
      </c>
      <c r="C108" s="7">
        <v>40987</v>
      </c>
      <c r="D108" s="6" t="s">
        <v>281</v>
      </c>
      <c r="E108" s="6"/>
      <c r="F108" s="17" t="e">
        <f ca="1">IF(LEFT(onde_tah(Tabela6[],Tabela2[[#This Row],[COD_LOJA]]),2) = "$Y","BRUNO","")</f>
        <v>#NAME?</v>
      </c>
    </row>
    <row r="109" spans="1:6" ht="13">
      <c r="A109" s="34">
        <v>110</v>
      </c>
      <c r="B109" s="6" t="s">
        <v>359</v>
      </c>
      <c r="C109" s="7">
        <v>41306</v>
      </c>
      <c r="D109" s="6"/>
      <c r="E109" s="6"/>
      <c r="F109" s="17" t="e">
        <f ca="1">IF(LEFT(onde_tah(Tabela6[],Tabela2[[#This Row],[COD_LOJA]]),2) = "$Y","BRUNO","")</f>
        <v>#NAME?</v>
      </c>
    </row>
    <row r="110" spans="1:6" ht="13">
      <c r="A110" s="34">
        <v>111</v>
      </c>
      <c r="B110" s="6" t="s">
        <v>360</v>
      </c>
      <c r="C110" s="7">
        <v>41019</v>
      </c>
      <c r="D110" s="6"/>
      <c r="E110" s="6"/>
      <c r="F110" s="17" t="e">
        <f ca="1">IF(LEFT(onde_tah(Tabela6[],Tabela2[[#This Row],[COD_LOJA]]),2) = "$Y","BRUNO","")</f>
        <v>#NAME?</v>
      </c>
    </row>
    <row r="111" spans="1:6" ht="13">
      <c r="A111" s="34">
        <v>112</v>
      </c>
      <c r="B111" s="6" t="s">
        <v>361</v>
      </c>
      <c r="C111" s="7">
        <v>41012</v>
      </c>
      <c r="D111" s="6"/>
      <c r="E111" s="6"/>
      <c r="F111" s="17" t="e">
        <f ca="1">IF(LEFT(onde_tah(Tabela6[],Tabela2[[#This Row],[COD_LOJA]]),2) = "$Y","BRUNO","")</f>
        <v>#NAME?</v>
      </c>
    </row>
    <row r="112" spans="1:6" ht="13">
      <c r="A112" s="34">
        <v>113</v>
      </c>
      <c r="B112" s="6" t="s">
        <v>362</v>
      </c>
      <c r="C112" s="7">
        <v>41047</v>
      </c>
      <c r="D112" s="6"/>
      <c r="E112" s="6"/>
      <c r="F112" s="17" t="e">
        <f ca="1">IF(LEFT(onde_tah(Tabela6[],Tabela2[[#This Row],[COD_LOJA]]),2) = "$Y","BRUNO","")</f>
        <v>#NAME?</v>
      </c>
    </row>
    <row r="113" spans="1:6" ht="13">
      <c r="A113" s="34">
        <v>114</v>
      </c>
      <c r="B113" s="6" t="s">
        <v>363</v>
      </c>
      <c r="C113" s="7">
        <v>41042</v>
      </c>
      <c r="D113" s="6" t="s">
        <v>258</v>
      </c>
      <c r="E113" s="8">
        <v>1</v>
      </c>
      <c r="F113" s="17" t="e">
        <f ca="1">IF(LEFT(onde_tah(Tabela6[],Tabela2[[#This Row],[COD_LOJA]]),2) = "$Y","BRUNO","")</f>
        <v>#NAME?</v>
      </c>
    </row>
    <row r="114" spans="1:6" ht="13">
      <c r="A114" s="34">
        <v>115</v>
      </c>
      <c r="B114" s="6" t="s">
        <v>364</v>
      </c>
      <c r="C114" s="7">
        <v>41062</v>
      </c>
      <c r="D114" s="6"/>
      <c r="E114" s="6"/>
      <c r="F114" s="17" t="e">
        <f ca="1">IF(LEFT(onde_tah(Tabela6[],Tabela2[[#This Row],[COD_LOJA]]),2) = "$Y","BRUNO","")</f>
        <v>#NAME?</v>
      </c>
    </row>
    <row r="115" spans="1:6" ht="13">
      <c r="A115" s="34">
        <v>116</v>
      </c>
      <c r="B115" s="6" t="s">
        <v>365</v>
      </c>
      <c r="C115" s="7">
        <v>41059</v>
      </c>
      <c r="D115" s="6"/>
      <c r="E115" s="6"/>
      <c r="F115" s="17" t="e">
        <f ca="1">IF(LEFT(onde_tah(Tabela6[],Tabela2[[#This Row],[COD_LOJA]]),2) = "$Y","BRUNO","")</f>
        <v>#NAME?</v>
      </c>
    </row>
    <row r="116" spans="1:6" ht="13">
      <c r="A116" s="34">
        <v>117</v>
      </c>
      <c r="B116" s="6" t="s">
        <v>366</v>
      </c>
      <c r="C116" s="7">
        <v>41123</v>
      </c>
      <c r="D116" s="6"/>
      <c r="E116" s="6"/>
      <c r="F116" s="17" t="e">
        <f ca="1">IF(LEFT(onde_tah(Tabela6[],Tabela2[[#This Row],[COD_LOJA]]),2) = "$Y","BRUNO","")</f>
        <v>#NAME?</v>
      </c>
    </row>
    <row r="117" spans="1:6" ht="13">
      <c r="A117" s="34">
        <v>118</v>
      </c>
      <c r="B117" s="6" t="s">
        <v>367</v>
      </c>
      <c r="C117" s="7">
        <v>41033</v>
      </c>
      <c r="D117" s="6"/>
      <c r="E117" s="6"/>
      <c r="F117" s="17" t="e">
        <f ca="1">IF(LEFT(onde_tah(Tabela6[],Tabela2[[#This Row],[COD_LOJA]]),2) = "$Y","BRUNO","")</f>
        <v>#NAME?</v>
      </c>
    </row>
    <row r="118" spans="1:6" ht="13">
      <c r="A118" s="34">
        <v>119</v>
      </c>
      <c r="B118" s="6" t="s">
        <v>368</v>
      </c>
      <c r="C118" s="7">
        <v>41083</v>
      </c>
      <c r="D118" s="6"/>
      <c r="E118" s="6"/>
      <c r="F118" s="17" t="e">
        <f ca="1">IF(LEFT(onde_tah(Tabela6[],Tabela2[[#This Row],[COD_LOJA]]),2) = "$Y","BRUNO","")</f>
        <v>#NAME?</v>
      </c>
    </row>
    <row r="119" spans="1:6" ht="13">
      <c r="A119" s="34">
        <v>120</v>
      </c>
      <c r="B119" s="6" t="s">
        <v>369</v>
      </c>
      <c r="C119" s="7">
        <v>41081</v>
      </c>
      <c r="D119" s="6"/>
      <c r="E119" s="6"/>
      <c r="F119" s="17" t="e">
        <f ca="1">IF(LEFT(onde_tah(Tabela6[],Tabela2[[#This Row],[COD_LOJA]]),2) = "$Y","BRUNO","")</f>
        <v>#NAME?</v>
      </c>
    </row>
    <row r="120" spans="1:6" ht="13">
      <c r="A120" s="34">
        <v>121</v>
      </c>
      <c r="B120" s="6" t="s">
        <v>370</v>
      </c>
      <c r="C120" s="7">
        <v>41131</v>
      </c>
      <c r="D120" s="6"/>
      <c r="E120" s="6"/>
      <c r="F120" s="17" t="e">
        <f ca="1">IF(LEFT(onde_tah(Tabela6[],Tabela2[[#This Row],[COD_LOJA]]),2) = "$Y","BRUNO","")</f>
        <v>#NAME?</v>
      </c>
    </row>
    <row r="121" spans="1:6" ht="13">
      <c r="A121" s="34">
        <v>122</v>
      </c>
      <c r="B121" s="6" t="s">
        <v>371</v>
      </c>
      <c r="C121" s="7">
        <v>41066</v>
      </c>
      <c r="D121" s="6"/>
      <c r="E121" s="6"/>
      <c r="F121" s="17" t="e">
        <f ca="1">IF(LEFT(onde_tah(Tabela6[],Tabela2[[#This Row],[COD_LOJA]]),2) = "$Y","BRUNO","")</f>
        <v>#NAME?</v>
      </c>
    </row>
    <row r="122" spans="1:6" ht="13">
      <c r="A122" s="34">
        <v>123</v>
      </c>
      <c r="B122" s="6" t="s">
        <v>372</v>
      </c>
      <c r="C122" s="7">
        <v>41123</v>
      </c>
      <c r="D122" s="6"/>
      <c r="E122" s="6"/>
      <c r="F122" s="17" t="e">
        <f ca="1">IF(LEFT(onde_tah(Tabela6[],Tabela2[[#This Row],[COD_LOJA]]),2) = "$Y","BRUNO","")</f>
        <v>#NAME?</v>
      </c>
    </row>
    <row r="123" spans="1:6" ht="13">
      <c r="A123" s="34">
        <v>124</v>
      </c>
      <c r="B123" s="6" t="s">
        <v>373</v>
      </c>
      <c r="C123" s="7">
        <v>41096</v>
      </c>
      <c r="D123" s="6"/>
      <c r="E123" s="6"/>
      <c r="F123" s="17" t="e">
        <f ca="1">IF(LEFT(onde_tah(Tabela6[],Tabela2[[#This Row],[COD_LOJA]]),2) = "$Y","BRUNO","")</f>
        <v>#NAME?</v>
      </c>
    </row>
    <row r="124" spans="1:6" ht="13">
      <c r="A124" s="34">
        <v>125</v>
      </c>
      <c r="B124" s="6" t="s">
        <v>374</v>
      </c>
      <c r="C124" s="7">
        <v>41109</v>
      </c>
      <c r="D124" s="6"/>
      <c r="E124" s="6"/>
      <c r="F124" s="17" t="e">
        <f ca="1">IF(LEFT(onde_tah(Tabela6[],Tabela2[[#This Row],[COD_LOJA]]),2) = "$Y","BRUNO","")</f>
        <v>#NAME?</v>
      </c>
    </row>
    <row r="125" spans="1:6" ht="13">
      <c r="A125" s="34">
        <v>126</v>
      </c>
      <c r="B125" s="6" t="s">
        <v>375</v>
      </c>
      <c r="C125" s="7">
        <v>41127</v>
      </c>
      <c r="D125" s="6"/>
      <c r="E125" s="6"/>
      <c r="F125" s="17" t="e">
        <f ca="1">IF(LEFT(onde_tah(Tabela6[],Tabela2[[#This Row],[COD_LOJA]]),2) = "$Y","BRUNO","")</f>
        <v>#NAME?</v>
      </c>
    </row>
    <row r="126" spans="1:6" ht="13">
      <c r="A126" s="34">
        <v>127</v>
      </c>
      <c r="B126" s="6" t="s">
        <v>376</v>
      </c>
      <c r="C126" s="7">
        <v>41180</v>
      </c>
      <c r="D126" s="6"/>
      <c r="E126" s="6"/>
      <c r="F126" s="17" t="e">
        <f ca="1">IF(LEFT(onde_tah(Tabela6[],Tabela2[[#This Row],[COD_LOJA]]),2) = "$Y","BRUNO","")</f>
        <v>#NAME?</v>
      </c>
    </row>
    <row r="127" spans="1:6" ht="13">
      <c r="A127" s="34">
        <v>128</v>
      </c>
      <c r="B127" s="6" t="s">
        <v>377</v>
      </c>
      <c r="C127" s="7">
        <v>41158</v>
      </c>
      <c r="D127" s="6"/>
      <c r="E127" s="6"/>
      <c r="F127" s="17" t="e">
        <f ca="1">IF(LEFT(onde_tah(Tabela6[],Tabela2[[#This Row],[COD_LOJA]]),2) = "$Y","BRUNO","")</f>
        <v>#NAME?</v>
      </c>
    </row>
    <row r="128" spans="1:6" ht="13">
      <c r="A128" s="34">
        <v>129</v>
      </c>
      <c r="B128" s="6" t="s">
        <v>378</v>
      </c>
      <c r="C128" s="7">
        <v>41137</v>
      </c>
      <c r="D128" s="6"/>
      <c r="E128" s="6"/>
      <c r="F128" s="17" t="e">
        <f ca="1">IF(LEFT(onde_tah(Tabela6[],Tabela2[[#This Row],[COD_LOJA]]),2) = "$Y","BRUNO","")</f>
        <v>#NAME?</v>
      </c>
    </row>
    <row r="129" spans="1:6" ht="13">
      <c r="A129" s="34">
        <v>130</v>
      </c>
      <c r="B129" s="6" t="s">
        <v>379</v>
      </c>
      <c r="C129" s="7">
        <v>41186</v>
      </c>
      <c r="D129" s="6"/>
      <c r="E129" s="6"/>
      <c r="F129" s="17" t="e">
        <f ca="1">IF(LEFT(onde_tah(Tabela6[],Tabela2[[#This Row],[COD_LOJA]]),2) = "$Y","BRUNO","")</f>
        <v>#NAME?</v>
      </c>
    </row>
    <row r="130" spans="1:6" ht="13">
      <c r="A130" s="34">
        <v>131</v>
      </c>
      <c r="B130" s="6" t="s">
        <v>380</v>
      </c>
      <c r="C130" s="7">
        <v>41184</v>
      </c>
      <c r="D130" s="6"/>
      <c r="E130" s="6"/>
      <c r="F130" s="17" t="e">
        <f ca="1">IF(LEFT(onde_tah(Tabela6[],Tabela2[[#This Row],[COD_LOJA]]),2) = "$Y","BRUNO","")</f>
        <v>#NAME?</v>
      </c>
    </row>
    <row r="131" spans="1:6" ht="13">
      <c r="A131" s="34">
        <v>132</v>
      </c>
      <c r="B131" s="6" t="s">
        <v>381</v>
      </c>
      <c r="C131" s="7">
        <v>41190</v>
      </c>
      <c r="D131" s="6"/>
      <c r="E131" s="6"/>
      <c r="F131" s="17" t="e">
        <f ca="1">IF(LEFT(onde_tah(Tabela6[],Tabela2[[#This Row],[COD_LOJA]]),2) = "$Y","BRUNO","")</f>
        <v>#NAME?</v>
      </c>
    </row>
    <row r="132" spans="1:6" ht="13">
      <c r="A132" s="34">
        <v>133</v>
      </c>
      <c r="B132" s="6" t="s">
        <v>382</v>
      </c>
      <c r="C132" s="7">
        <v>41264</v>
      </c>
      <c r="D132" s="6" t="s">
        <v>277</v>
      </c>
      <c r="E132" s="6"/>
      <c r="F132" s="17" t="e">
        <f ca="1">IF(LEFT(onde_tah(Tabela6[],Tabela2[[#This Row],[COD_LOJA]]),2) = "$Y","BRUNO","")</f>
        <v>#NAME?</v>
      </c>
    </row>
    <row r="133" spans="1:6" ht="13">
      <c r="A133" s="34">
        <v>134</v>
      </c>
      <c r="B133" s="6" t="s">
        <v>383</v>
      </c>
      <c r="C133" s="7">
        <v>41207</v>
      </c>
      <c r="D133" s="6" t="s">
        <v>277</v>
      </c>
      <c r="E133" s="6"/>
      <c r="F133" s="17" t="e">
        <f ca="1">IF(LEFT(onde_tah(Tabela6[],Tabela2[[#This Row],[COD_LOJA]]),2) = "$Y","BRUNO","")</f>
        <v>#NAME?</v>
      </c>
    </row>
    <row r="134" spans="1:6" ht="13">
      <c r="A134" s="34">
        <v>135</v>
      </c>
      <c r="B134" s="6" t="s">
        <v>384</v>
      </c>
      <c r="C134" s="7">
        <v>41242</v>
      </c>
      <c r="D134" s="6" t="s">
        <v>277</v>
      </c>
      <c r="E134" s="6"/>
      <c r="F134" s="17" t="e">
        <f ca="1">IF(LEFT(onde_tah(Tabela6[],Tabela2[[#This Row],[COD_LOJA]]),2) = "$Y","BRUNO","")</f>
        <v>#NAME?</v>
      </c>
    </row>
    <row r="135" spans="1:6" ht="13">
      <c r="A135" s="34">
        <v>136</v>
      </c>
      <c r="B135" s="6" t="s">
        <v>385</v>
      </c>
      <c r="C135" s="7">
        <v>41230</v>
      </c>
      <c r="D135" s="6"/>
      <c r="E135" s="6"/>
      <c r="F135" s="17" t="e">
        <f ca="1">IF(LEFT(onde_tah(Tabela6[],Tabela2[[#This Row],[COD_LOJA]]),2) = "$Y","BRUNO","")</f>
        <v>#NAME?</v>
      </c>
    </row>
    <row r="136" spans="1:6" ht="13">
      <c r="A136" s="34">
        <v>137</v>
      </c>
      <c r="B136" s="6" t="s">
        <v>386</v>
      </c>
      <c r="C136" s="7">
        <v>41232</v>
      </c>
      <c r="D136" s="6"/>
      <c r="E136" s="6"/>
      <c r="F136" s="17" t="e">
        <f ca="1">IF(LEFT(onde_tah(Tabela6[],Tabela2[[#This Row],[COD_LOJA]]),2) = "$Y","BRUNO","")</f>
        <v>#NAME?</v>
      </c>
    </row>
    <row r="137" spans="1:6" ht="13">
      <c r="A137" s="34">
        <v>138</v>
      </c>
      <c r="B137" s="6" t="s">
        <v>387</v>
      </c>
      <c r="C137" s="7">
        <v>41291</v>
      </c>
      <c r="D137" s="6"/>
      <c r="E137" s="6"/>
      <c r="F137" s="17" t="e">
        <f ca="1">IF(LEFT(onde_tah(Tabela6[],Tabela2[[#This Row],[COD_LOJA]]),2) = "$Y","BRUNO","")</f>
        <v>#NAME?</v>
      </c>
    </row>
    <row r="138" spans="1:6" ht="13">
      <c r="A138" s="34">
        <v>139</v>
      </c>
      <c r="B138" s="6" t="s">
        <v>388</v>
      </c>
      <c r="C138" s="7">
        <v>41275</v>
      </c>
      <c r="D138" s="6"/>
      <c r="E138" s="6"/>
      <c r="F138" s="17" t="e">
        <f ca="1">IF(LEFT(onde_tah(Tabela6[],Tabela2[[#This Row],[COD_LOJA]]),2) = "$Y","BRUNO","")</f>
        <v>#NAME?</v>
      </c>
    </row>
    <row r="139" spans="1:6" ht="13">
      <c r="A139" s="34">
        <v>140</v>
      </c>
      <c r="B139" s="6" t="s">
        <v>389</v>
      </c>
      <c r="C139" s="7">
        <v>41306</v>
      </c>
      <c r="D139" s="6"/>
      <c r="E139" s="6"/>
      <c r="F139" s="17" t="e">
        <f ca="1">IF(LEFT(onde_tah(Tabela6[],Tabela2[[#This Row],[COD_LOJA]]),2) = "$Y","BRUNO","")</f>
        <v>#NAME?</v>
      </c>
    </row>
    <row r="140" spans="1:6" ht="13">
      <c r="A140" s="34">
        <v>141</v>
      </c>
      <c r="B140" s="6" t="s">
        <v>390</v>
      </c>
      <c r="C140" s="7">
        <v>41260</v>
      </c>
      <c r="D140" s="6"/>
      <c r="E140" s="6"/>
      <c r="F140" s="17" t="e">
        <f ca="1">IF(LEFT(onde_tah(Tabela6[],Tabela2[[#This Row],[COD_LOJA]]),2) = "$Y","BRUNO","")</f>
        <v>#NAME?</v>
      </c>
    </row>
    <row r="141" spans="1:6" ht="13">
      <c r="A141" s="34">
        <v>142</v>
      </c>
      <c r="B141" s="6" t="s">
        <v>391</v>
      </c>
      <c r="C141" s="7">
        <v>41275</v>
      </c>
      <c r="D141" s="6"/>
      <c r="E141" s="6"/>
      <c r="F141" s="17" t="e">
        <f ca="1">IF(LEFT(onde_tah(Tabela6[],Tabela2[[#This Row],[COD_LOJA]]),2) = "$Y","BRUNO","")</f>
        <v>#NAME?</v>
      </c>
    </row>
    <row r="142" spans="1:6" ht="13">
      <c r="A142" s="34">
        <v>143</v>
      </c>
      <c r="B142" s="6" t="s">
        <v>392</v>
      </c>
      <c r="C142" s="7">
        <v>41234</v>
      </c>
      <c r="D142" s="6"/>
      <c r="E142" s="6"/>
      <c r="F142" s="17" t="e">
        <f ca="1">IF(LEFT(onde_tah(Tabela6[],Tabela2[[#This Row],[COD_LOJA]]),2) = "$Y","BRUNO","")</f>
        <v>#NAME?</v>
      </c>
    </row>
    <row r="143" spans="1:6" ht="13">
      <c r="A143" s="34">
        <v>144</v>
      </c>
      <c r="B143" s="6" t="s">
        <v>393</v>
      </c>
      <c r="C143" s="7">
        <v>41275</v>
      </c>
      <c r="D143" s="6"/>
      <c r="E143" s="6"/>
      <c r="F143" s="17" t="e">
        <f ca="1">IF(LEFT(onde_tah(Tabela6[],Tabela2[[#This Row],[COD_LOJA]]),2) = "$Y","BRUNO","")</f>
        <v>#NAME?</v>
      </c>
    </row>
    <row r="144" spans="1:6" ht="13">
      <c r="A144" s="34">
        <v>145</v>
      </c>
      <c r="B144" s="6" t="s">
        <v>394</v>
      </c>
      <c r="C144" s="7">
        <v>41264</v>
      </c>
      <c r="D144" s="6" t="s">
        <v>238</v>
      </c>
      <c r="E144" s="8">
        <v>1</v>
      </c>
      <c r="F144" s="17" t="e">
        <f ca="1">IF(LEFT(onde_tah(Tabela6[],Tabela2[[#This Row],[COD_LOJA]]),2) = "$Y","BRUNO","")</f>
        <v>#NAME?</v>
      </c>
    </row>
    <row r="145" spans="1:6" ht="13">
      <c r="A145" s="34">
        <v>146</v>
      </c>
      <c r="B145" s="6" t="s">
        <v>395</v>
      </c>
      <c r="C145" s="7">
        <v>41306</v>
      </c>
      <c r="D145" s="6"/>
      <c r="E145" s="6"/>
      <c r="F145" s="17" t="e">
        <f ca="1">IF(LEFT(onde_tah(Tabela6[],Tabela2[[#This Row],[COD_LOJA]]),2) = "$Y","BRUNO","")</f>
        <v>#NAME?</v>
      </c>
    </row>
    <row r="146" spans="1:6" ht="13">
      <c r="A146" s="34">
        <v>147</v>
      </c>
      <c r="B146" s="6" t="s">
        <v>396</v>
      </c>
      <c r="C146" s="7">
        <v>41275</v>
      </c>
      <c r="D146" s="6"/>
      <c r="E146" s="6"/>
      <c r="F146" s="17" t="e">
        <f ca="1">IF(LEFT(onde_tah(Tabela6[],Tabela2[[#This Row],[COD_LOJA]]),2) = "$Y","BRUNO","")</f>
        <v>#NAME?</v>
      </c>
    </row>
    <row r="147" spans="1:6" ht="13">
      <c r="A147" s="34">
        <v>148</v>
      </c>
      <c r="B147" s="6" t="s">
        <v>397</v>
      </c>
      <c r="C147" s="7">
        <v>41334</v>
      </c>
      <c r="D147" s="6"/>
      <c r="E147" s="6"/>
      <c r="F147" s="17" t="e">
        <f ca="1">IF(LEFT(onde_tah(Tabela6[],Tabela2[[#This Row],[COD_LOJA]]),2) = "$Y","BRUNO","")</f>
        <v>#NAME?</v>
      </c>
    </row>
    <row r="148" spans="1:6" ht="13">
      <c r="A148" s="34">
        <v>149</v>
      </c>
      <c r="B148" s="6" t="s">
        <v>398</v>
      </c>
      <c r="C148" s="7">
        <v>41306</v>
      </c>
      <c r="D148" s="6"/>
      <c r="E148" s="6"/>
      <c r="F148" s="17" t="e">
        <f ca="1">IF(LEFT(onde_tah(Tabela6[],Tabela2[[#This Row],[COD_LOJA]]),2) = "$Y","BRUNO","")</f>
        <v>#NAME?</v>
      </c>
    </row>
    <row r="149" spans="1:6" ht="13">
      <c r="A149" s="34">
        <v>150</v>
      </c>
      <c r="B149" s="6" t="s">
        <v>399</v>
      </c>
      <c r="C149" s="7">
        <v>41395</v>
      </c>
      <c r="D149" s="6" t="s">
        <v>238</v>
      </c>
      <c r="E149" s="8">
        <v>1</v>
      </c>
      <c r="F149" s="17" t="e">
        <f ca="1">IF(LEFT(onde_tah(Tabela6[],Tabela2[[#This Row],[COD_LOJA]]),2) = "$Y","BRUNO","")</f>
        <v>#NAME?</v>
      </c>
    </row>
    <row r="150" spans="1:6" ht="13">
      <c r="A150" s="34">
        <v>151</v>
      </c>
      <c r="B150" s="6" t="s">
        <v>400</v>
      </c>
      <c r="C150" s="7">
        <v>41365</v>
      </c>
      <c r="D150" s="6"/>
      <c r="E150" s="6"/>
      <c r="F150" s="17" t="e">
        <f ca="1">IF(LEFT(onde_tah(Tabela6[],Tabela2[[#This Row],[COD_LOJA]]),2) = "$Y","BRUNO","")</f>
        <v>#NAME?</v>
      </c>
    </row>
    <row r="151" spans="1:6" ht="13">
      <c r="A151" s="34">
        <v>152</v>
      </c>
      <c r="B151" s="6" t="s">
        <v>401</v>
      </c>
      <c r="C151" s="7">
        <v>41334</v>
      </c>
      <c r="D151" s="6"/>
      <c r="E151" s="6"/>
      <c r="F151" s="17" t="e">
        <f ca="1">IF(LEFT(onde_tah(Tabela6[],Tabela2[[#This Row],[COD_LOJA]]),2) = "$Y","BRUNO","")</f>
        <v>#NAME?</v>
      </c>
    </row>
    <row r="152" spans="1:6" ht="13">
      <c r="A152" s="34">
        <v>153</v>
      </c>
      <c r="B152" s="6" t="s">
        <v>402</v>
      </c>
      <c r="C152" s="7">
        <v>41456</v>
      </c>
      <c r="D152" s="6"/>
      <c r="E152" s="6"/>
      <c r="F152" s="17" t="e">
        <f ca="1">IF(LEFT(onde_tah(Tabela6[],Tabela2[[#This Row],[COD_LOJA]]),2) = "$Y","BRUNO","")</f>
        <v>#NAME?</v>
      </c>
    </row>
    <row r="153" spans="1:6" ht="13">
      <c r="A153" s="34">
        <v>154</v>
      </c>
      <c r="B153" s="6" t="s">
        <v>403</v>
      </c>
      <c r="C153" s="7">
        <v>41456</v>
      </c>
      <c r="D153" s="6" t="s">
        <v>275</v>
      </c>
      <c r="E153" s="6"/>
      <c r="F153" s="17" t="e">
        <f ca="1">IF(LEFT(onde_tah(Tabela6[],Tabela2[[#This Row],[COD_LOJA]]),2) = "$Y","BRUNO","")</f>
        <v>#NAME?</v>
      </c>
    </row>
    <row r="154" spans="1:6" ht="13">
      <c r="A154" s="34">
        <v>155</v>
      </c>
      <c r="B154" s="6" t="s">
        <v>404</v>
      </c>
      <c r="C154" s="7">
        <v>41365</v>
      </c>
      <c r="D154" s="6"/>
      <c r="E154" s="6"/>
      <c r="F154" s="17" t="e">
        <f ca="1">IF(LEFT(onde_tah(Tabela6[],Tabela2[[#This Row],[COD_LOJA]]),2) = "$Y","BRUNO","")</f>
        <v>#NAME?</v>
      </c>
    </row>
    <row r="155" spans="1:6" ht="13">
      <c r="A155" s="34">
        <v>156</v>
      </c>
      <c r="B155" s="6" t="s">
        <v>405</v>
      </c>
      <c r="C155" s="7">
        <v>41395</v>
      </c>
      <c r="D155" s="6"/>
      <c r="E155" s="6"/>
      <c r="F155" s="17" t="e">
        <f ca="1">IF(LEFT(onde_tah(Tabela6[],Tabela2[[#This Row],[COD_LOJA]]),2) = "$Y","BRUNO","")</f>
        <v>#NAME?</v>
      </c>
    </row>
    <row r="156" spans="1:6" ht="13">
      <c r="A156" s="34">
        <v>157</v>
      </c>
      <c r="B156" s="6" t="s">
        <v>406</v>
      </c>
      <c r="C156" s="7">
        <v>41395</v>
      </c>
      <c r="D156" s="6"/>
      <c r="E156" s="6"/>
      <c r="F156" s="17" t="e">
        <f ca="1">IF(LEFT(onde_tah(Tabela6[],Tabela2[[#This Row],[COD_LOJA]]),2) = "$Y","BRUNO","")</f>
        <v>#NAME?</v>
      </c>
    </row>
    <row r="157" spans="1:6" ht="13">
      <c r="A157" s="34">
        <v>158</v>
      </c>
      <c r="B157" s="6" t="s">
        <v>407</v>
      </c>
      <c r="C157" s="7">
        <v>41395</v>
      </c>
      <c r="D157" s="6"/>
      <c r="E157" s="6"/>
      <c r="F157" s="17" t="e">
        <f ca="1">IF(LEFT(onde_tah(Tabela6[],Tabela2[[#This Row],[COD_LOJA]]),2) = "$Y","BRUNO","")</f>
        <v>#NAME?</v>
      </c>
    </row>
    <row r="158" spans="1:6" ht="13">
      <c r="A158" s="34">
        <v>159</v>
      </c>
      <c r="B158" s="6" t="s">
        <v>408</v>
      </c>
      <c r="C158" s="7">
        <v>41426</v>
      </c>
      <c r="D158" s="6"/>
      <c r="E158" s="6"/>
      <c r="F158" s="17" t="e">
        <f ca="1">IF(LEFT(onde_tah(Tabela6[],Tabela2[[#This Row],[COD_LOJA]]),2) = "$Y","BRUNO","")</f>
        <v>#NAME?</v>
      </c>
    </row>
    <row r="159" spans="1:6" ht="13">
      <c r="A159" s="34">
        <v>160</v>
      </c>
      <c r="B159" s="6" t="s">
        <v>409</v>
      </c>
      <c r="C159" s="7">
        <v>41365</v>
      </c>
      <c r="D159" s="6"/>
      <c r="E159" s="6"/>
      <c r="F159" s="17" t="e">
        <f ca="1">IF(LEFT(onde_tah(Tabela6[],Tabela2[[#This Row],[COD_LOJA]]),2) = "$Y","BRUNO","")</f>
        <v>#NAME?</v>
      </c>
    </row>
    <row r="160" spans="1:6" ht="13">
      <c r="A160" s="34">
        <v>161</v>
      </c>
      <c r="B160" s="6" t="s">
        <v>410</v>
      </c>
      <c r="C160" s="7">
        <v>41426</v>
      </c>
      <c r="D160" s="6"/>
      <c r="E160" s="6"/>
      <c r="F160" s="17" t="e">
        <f ca="1">IF(LEFT(onde_tah(Tabela6[],Tabela2[[#This Row],[COD_LOJA]]),2) = "$Y","BRUNO","")</f>
        <v>#NAME?</v>
      </c>
    </row>
    <row r="161" spans="1:6" ht="13">
      <c r="A161" s="34">
        <v>162</v>
      </c>
      <c r="B161" s="6" t="s">
        <v>411</v>
      </c>
      <c r="C161" s="7">
        <v>41365</v>
      </c>
      <c r="D161" s="6"/>
      <c r="E161" s="6"/>
      <c r="F161" s="17" t="e">
        <f ca="1">IF(LEFT(onde_tah(Tabela6[],Tabela2[[#This Row],[COD_LOJA]]),2) = "$Y","BRUNO","")</f>
        <v>#NAME?</v>
      </c>
    </row>
    <row r="162" spans="1:6" ht="13">
      <c r="A162" s="34">
        <v>163</v>
      </c>
      <c r="B162" s="6" t="s">
        <v>412</v>
      </c>
      <c r="C162" s="7">
        <v>41395</v>
      </c>
      <c r="D162" s="6"/>
      <c r="E162" s="6"/>
      <c r="F162" s="17" t="e">
        <f ca="1">IF(LEFT(onde_tah(Tabela6[],Tabela2[[#This Row],[COD_LOJA]]),2) = "$Y","BRUNO","")</f>
        <v>#NAME?</v>
      </c>
    </row>
    <row r="163" spans="1:6" ht="13">
      <c r="A163" s="34">
        <v>164</v>
      </c>
      <c r="B163" s="6" t="s">
        <v>413</v>
      </c>
      <c r="C163" s="7">
        <v>41518</v>
      </c>
      <c r="D163" s="6"/>
      <c r="E163" s="6"/>
      <c r="F163" s="17" t="e">
        <f ca="1">IF(LEFT(onde_tah(Tabela6[],Tabela2[[#This Row],[COD_LOJA]]),2) = "$Y","BRUNO","")</f>
        <v>#NAME?</v>
      </c>
    </row>
    <row r="164" spans="1:6" ht="13">
      <c r="A164" s="34">
        <v>165</v>
      </c>
      <c r="B164" s="6" t="s">
        <v>414</v>
      </c>
      <c r="C164" s="7">
        <v>41426</v>
      </c>
      <c r="D164" s="6" t="s">
        <v>281</v>
      </c>
      <c r="E164" s="6"/>
      <c r="F164" s="17" t="e">
        <f ca="1">IF(LEFT(onde_tah(Tabela6[],Tabela2[[#This Row],[COD_LOJA]]),2) = "$Y","BRUNO","")</f>
        <v>#NAME?</v>
      </c>
    </row>
    <row r="165" spans="1:6" ht="13">
      <c r="A165" s="34">
        <v>166</v>
      </c>
      <c r="B165" s="6" t="s">
        <v>415</v>
      </c>
      <c r="C165" s="7">
        <v>41426</v>
      </c>
      <c r="D165" s="6"/>
      <c r="E165" s="6"/>
      <c r="F165" s="17" t="e">
        <f ca="1">IF(LEFT(onde_tah(Tabela6[],Tabela2[[#This Row],[COD_LOJA]]),2) = "$Y","BRUNO","")</f>
        <v>#NAME?</v>
      </c>
    </row>
    <row r="166" spans="1:6" ht="13">
      <c r="A166" s="34">
        <v>167</v>
      </c>
      <c r="B166" s="6" t="s">
        <v>416</v>
      </c>
      <c r="C166" s="7">
        <v>41456</v>
      </c>
      <c r="D166" s="6"/>
      <c r="E166" s="6"/>
      <c r="F166" s="17" t="e">
        <f ca="1">IF(LEFT(onde_tah(Tabela6[],Tabela2[[#This Row],[COD_LOJA]]),2) = "$Y","BRUNO","")</f>
        <v>#NAME?</v>
      </c>
    </row>
    <row r="167" spans="1:6" ht="13">
      <c r="A167" s="34">
        <v>168</v>
      </c>
      <c r="B167" s="6" t="s">
        <v>417</v>
      </c>
      <c r="C167" s="7">
        <v>41487</v>
      </c>
      <c r="D167" s="6"/>
      <c r="E167" s="6"/>
      <c r="F167" s="17" t="e">
        <f ca="1">IF(LEFT(onde_tah(Tabela6[],Tabela2[[#This Row],[COD_LOJA]]),2) = "$Y","BRUNO","")</f>
        <v>#NAME?</v>
      </c>
    </row>
    <row r="168" spans="1:6" ht="13">
      <c r="A168" s="34">
        <v>169</v>
      </c>
      <c r="B168" s="6" t="s">
        <v>418</v>
      </c>
      <c r="C168" s="7">
        <v>41456</v>
      </c>
      <c r="D168" s="6"/>
      <c r="E168" s="6"/>
      <c r="F168" s="17" t="e">
        <f ca="1">IF(LEFT(onde_tah(Tabela6[],Tabela2[[#This Row],[COD_LOJA]]),2) = "$Y","BRUNO","")</f>
        <v>#NAME?</v>
      </c>
    </row>
    <row r="169" spans="1:6" ht="13">
      <c r="A169" s="34">
        <v>170</v>
      </c>
      <c r="B169" s="6" t="s">
        <v>419</v>
      </c>
      <c r="C169" s="7">
        <v>41487</v>
      </c>
      <c r="D169" s="6" t="s">
        <v>258</v>
      </c>
      <c r="E169" s="8">
        <v>1</v>
      </c>
      <c r="F169" s="17" t="e">
        <f ca="1">IF(LEFT(onde_tah(Tabela6[],Tabela2[[#This Row],[COD_LOJA]]),2) = "$Y","BRUNO","")</f>
        <v>#NAME?</v>
      </c>
    </row>
    <row r="170" spans="1:6" ht="13">
      <c r="A170" s="34">
        <v>171</v>
      </c>
      <c r="B170" s="6" t="s">
        <v>420</v>
      </c>
      <c r="C170" s="7">
        <v>41456</v>
      </c>
      <c r="D170" s="6"/>
      <c r="E170" s="6"/>
      <c r="F170" s="17" t="e">
        <f ca="1">IF(LEFT(onde_tah(Tabela6[],Tabela2[[#This Row],[COD_LOJA]]),2) = "$Y","BRUNO","")</f>
        <v>#NAME?</v>
      </c>
    </row>
    <row r="171" spans="1:6" ht="13">
      <c r="A171" s="34">
        <v>172</v>
      </c>
      <c r="B171" s="6" t="s">
        <v>421</v>
      </c>
      <c r="C171" s="7">
        <v>41548</v>
      </c>
      <c r="D171" s="6"/>
      <c r="E171" s="6"/>
      <c r="F171" s="17" t="e">
        <f ca="1">IF(LEFT(onde_tah(Tabela6[],Tabela2[[#This Row],[COD_LOJA]]),2) = "$Y","BRUNO","")</f>
        <v>#NAME?</v>
      </c>
    </row>
    <row r="172" spans="1:6" ht="13">
      <c r="A172" s="34">
        <v>173</v>
      </c>
      <c r="B172" s="6" t="s">
        <v>422</v>
      </c>
      <c r="C172" s="7">
        <v>41518</v>
      </c>
      <c r="D172" s="6"/>
      <c r="E172" s="6"/>
      <c r="F172" s="17" t="e">
        <f ca="1">IF(LEFT(onde_tah(Tabela6[],Tabela2[[#This Row],[COD_LOJA]]),2) = "$Y","BRUNO","")</f>
        <v>#NAME?</v>
      </c>
    </row>
    <row r="173" spans="1:6" ht="13">
      <c r="A173" s="34">
        <v>174</v>
      </c>
      <c r="B173" s="6" t="s">
        <v>423</v>
      </c>
      <c r="C173" s="7">
        <v>41518</v>
      </c>
      <c r="D173" s="6"/>
      <c r="E173" s="6"/>
      <c r="F173" s="17" t="e">
        <f ca="1">IF(LEFT(onde_tah(Tabela6[],Tabela2[[#This Row],[COD_LOJA]]),2) = "$Y","BRUNO","")</f>
        <v>#NAME?</v>
      </c>
    </row>
    <row r="174" spans="1:6" ht="13">
      <c r="A174" s="34">
        <v>175</v>
      </c>
      <c r="B174" s="6" t="s">
        <v>424</v>
      </c>
      <c r="C174" s="7">
        <v>41518</v>
      </c>
      <c r="D174" s="6"/>
      <c r="E174" s="6"/>
      <c r="F174" s="17" t="e">
        <f ca="1">IF(LEFT(onde_tah(Tabela6[],Tabela2[[#This Row],[COD_LOJA]]),2) = "$Y","BRUNO","")</f>
        <v>#NAME?</v>
      </c>
    </row>
    <row r="175" spans="1:6" ht="13">
      <c r="A175" s="34">
        <v>176</v>
      </c>
      <c r="B175" s="6" t="s">
        <v>425</v>
      </c>
      <c r="C175" s="7">
        <v>41548</v>
      </c>
      <c r="D175" s="6"/>
      <c r="E175" s="6"/>
      <c r="F175" s="17" t="e">
        <f ca="1">IF(LEFT(onde_tah(Tabela6[],Tabela2[[#This Row],[COD_LOJA]]),2) = "$Y","BRUNO","")</f>
        <v>#NAME?</v>
      </c>
    </row>
    <row r="176" spans="1:6" ht="13">
      <c r="A176" s="34">
        <v>177</v>
      </c>
      <c r="B176" s="6" t="s">
        <v>426</v>
      </c>
      <c r="C176" s="7">
        <v>41548</v>
      </c>
      <c r="D176" s="6"/>
      <c r="E176" s="6"/>
      <c r="F176" s="17" t="e">
        <f ca="1">IF(LEFT(onde_tah(Tabela6[],Tabela2[[#This Row],[COD_LOJA]]),2) = "$Y","BRUNO","")</f>
        <v>#NAME?</v>
      </c>
    </row>
    <row r="177" spans="1:6" ht="13">
      <c r="A177" s="34">
        <v>178</v>
      </c>
      <c r="B177" s="6" t="s">
        <v>427</v>
      </c>
      <c r="C177" s="7">
        <v>41518</v>
      </c>
      <c r="D177" s="6"/>
      <c r="E177" s="6"/>
      <c r="F177" s="17" t="e">
        <f ca="1">IF(LEFT(onde_tah(Tabela6[],Tabela2[[#This Row],[COD_LOJA]]),2) = "$Y","BRUNO","")</f>
        <v>#NAME?</v>
      </c>
    </row>
    <row r="178" spans="1:6" ht="13">
      <c r="A178" s="34">
        <v>179</v>
      </c>
      <c r="B178" s="6" t="s">
        <v>428</v>
      </c>
      <c r="C178" s="7">
        <v>41548</v>
      </c>
      <c r="D178" s="6" t="s">
        <v>277</v>
      </c>
      <c r="E178" s="6"/>
      <c r="F178" s="17" t="e">
        <f ca="1">IF(LEFT(onde_tah(Tabela6[],Tabela2[[#This Row],[COD_LOJA]]),2) = "$Y","BRUNO","")</f>
        <v>#NAME?</v>
      </c>
    </row>
    <row r="179" spans="1:6" ht="13">
      <c r="A179" s="34">
        <v>180</v>
      </c>
      <c r="B179" s="6" t="s">
        <v>429</v>
      </c>
      <c r="C179" s="7">
        <v>41579</v>
      </c>
      <c r="D179" s="6"/>
      <c r="E179" s="6"/>
      <c r="F179" s="17" t="e">
        <f ca="1">IF(LEFT(onde_tah(Tabela6[],Tabela2[[#This Row],[COD_LOJA]]),2) = "$Y","BRUNO","")</f>
        <v>#NAME?</v>
      </c>
    </row>
    <row r="180" spans="1:6" ht="13">
      <c r="A180" s="34">
        <v>181</v>
      </c>
      <c r="B180" s="6" t="s">
        <v>430</v>
      </c>
      <c r="C180" s="7">
        <v>41640</v>
      </c>
      <c r="D180" s="6" t="s">
        <v>281</v>
      </c>
      <c r="E180" s="6"/>
      <c r="F180" s="17" t="e">
        <f ca="1">IF(LEFT(onde_tah(Tabela6[],Tabela2[[#This Row],[COD_LOJA]]),2) = "$Y","BRUNO","")</f>
        <v>#NAME?</v>
      </c>
    </row>
    <row r="181" spans="1:6" ht="13">
      <c r="A181" s="34">
        <v>182</v>
      </c>
      <c r="B181" s="6" t="s">
        <v>431</v>
      </c>
      <c r="C181" s="7">
        <v>41699</v>
      </c>
      <c r="D181" s="6"/>
      <c r="E181" s="6"/>
      <c r="F181" s="17" t="e">
        <f ca="1">IF(LEFT(onde_tah(Tabela6[],Tabela2[[#This Row],[COD_LOJA]]),2) = "$Y","BRUNO","")</f>
        <v>#NAME?</v>
      </c>
    </row>
    <row r="182" spans="1:6" ht="13">
      <c r="A182" s="34">
        <v>183</v>
      </c>
      <c r="B182" s="6" t="s">
        <v>432</v>
      </c>
      <c r="C182" s="7">
        <v>41640</v>
      </c>
      <c r="D182" s="6"/>
      <c r="E182" s="6"/>
      <c r="F182" s="17" t="e">
        <f ca="1">IF(LEFT(onde_tah(Tabela6[],Tabela2[[#This Row],[COD_LOJA]]),2) = "$Y","BRUNO","")</f>
        <v>#NAME?</v>
      </c>
    </row>
    <row r="183" spans="1:6" ht="13">
      <c r="A183" s="34">
        <v>184</v>
      </c>
      <c r="B183" s="6" t="s">
        <v>433</v>
      </c>
      <c r="C183" s="7">
        <v>41700</v>
      </c>
      <c r="D183" s="6" t="s">
        <v>277</v>
      </c>
      <c r="E183" s="6"/>
      <c r="F183" s="17" t="e">
        <f ca="1">IF(LEFT(onde_tah(Tabela6[],Tabela2[[#This Row],[COD_LOJA]]),2) = "$Y","BRUNO","")</f>
        <v>#NAME?</v>
      </c>
    </row>
    <row r="184" spans="1:6" ht="13">
      <c r="A184" s="34">
        <v>185</v>
      </c>
      <c r="B184" s="6" t="s">
        <v>434</v>
      </c>
      <c r="C184" s="7">
        <v>41701</v>
      </c>
      <c r="D184" s="6"/>
      <c r="E184" s="6"/>
      <c r="F184" s="17" t="e">
        <f ca="1">IF(LEFT(onde_tah(Tabela6[],Tabela2[[#This Row],[COD_LOJA]]),2) = "$Y","BRUNO","")</f>
        <v>#NAME?</v>
      </c>
    </row>
    <row r="185" spans="1:6" ht="13">
      <c r="A185" s="35">
        <v>186</v>
      </c>
      <c r="B185" s="18" t="s">
        <v>440</v>
      </c>
      <c r="C185" s="19">
        <v>41703</v>
      </c>
      <c r="D185" s="18"/>
      <c r="E185" s="18"/>
      <c r="F185" s="42" t="e">
        <f ca="1">IF(LEFT(onde_tah(Tabela6[],Tabela2[[#This Row],[COD_LOJA]]),2) = "$Y","BRUNO","")</f>
        <v>#NAME?</v>
      </c>
    </row>
    <row r="186" spans="1:6" ht="13">
      <c r="A186" s="35">
        <v>187</v>
      </c>
      <c r="B186" s="18" t="s">
        <v>435</v>
      </c>
      <c r="C186" s="19">
        <v>41703</v>
      </c>
      <c r="D186" s="18"/>
      <c r="E186" s="18"/>
      <c r="F186" s="20" t="e">
        <f ca="1">IF(LEFT(onde_tah(Tabela6[],Tabela2[[#This Row],[COD_LOJA]]),2) = "$Y","BRUNO","")</f>
        <v>#NAME?</v>
      </c>
    </row>
    <row r="187" spans="1:6" ht="13">
      <c r="A187" s="34">
        <v>188</v>
      </c>
      <c r="B187" s="6" t="s">
        <v>443</v>
      </c>
      <c r="C187" s="7">
        <v>41730</v>
      </c>
      <c r="D187" s="6"/>
      <c r="E187" s="6"/>
      <c r="F187" s="48" t="e">
        <f ca="1">IF(LEFT(onde_tah(Tabela6[],Tabela2[[#This Row],[COD_LOJA]]),2) = "$Y","BRUNO","")</f>
        <v>#NAME?</v>
      </c>
    </row>
    <row r="188" spans="1:6" ht="13">
      <c r="A188" s="35">
        <v>189</v>
      </c>
      <c r="B188" s="6" t="s">
        <v>441</v>
      </c>
      <c r="C188" s="19">
        <v>41703</v>
      </c>
      <c r="D188" s="18"/>
      <c r="E188" s="18"/>
      <c r="F188" s="42" t="e">
        <f ca="1">IF(LEFT(onde_tah(Tabela6[],Tabela2[[#This Row],[COD_LOJA]]),2) = "$Y","BRUNO","")</f>
        <v>#NAME?</v>
      </c>
    </row>
    <row r="189" spans="1:6" ht="13">
      <c r="A189" s="35">
        <v>190</v>
      </c>
      <c r="B189" s="18" t="s">
        <v>449</v>
      </c>
      <c r="C189" s="19">
        <v>41791</v>
      </c>
      <c r="D189" s="18"/>
      <c r="E189" s="18"/>
      <c r="F189" s="42" t="e">
        <f ca="1">IF(LEFT(onde_tah(Tabela6[],Tabela2[[#This Row],[COD_LOJA]]),2) = "$Y","BRUNO","")</f>
        <v>#NAME?</v>
      </c>
    </row>
    <row r="190" spans="1:6" ht="13">
      <c r="A190" s="35">
        <v>191</v>
      </c>
      <c r="B190" s="18" t="s">
        <v>450</v>
      </c>
      <c r="C190" s="19">
        <v>41791</v>
      </c>
      <c r="D190" s="18"/>
      <c r="E190" s="18"/>
      <c r="F190" s="42" t="e">
        <f ca="1">IF(LEFT(onde_tah(Tabela6[],Tabela2[[#This Row],[COD_LOJA]]),2) = "$Y","BRUNO","")</f>
        <v>#NAME?</v>
      </c>
    </row>
    <row r="191" spans="1:6" ht="13">
      <c r="A191" s="35">
        <v>192</v>
      </c>
      <c r="B191" s="18" t="s">
        <v>451</v>
      </c>
      <c r="C191" s="19">
        <v>41852</v>
      </c>
      <c r="D191" s="18"/>
      <c r="E191" s="18"/>
      <c r="F191" s="42" t="e">
        <f ca="1">IF(LEFT(onde_tah(Tabela6[],Tabela2[[#This Row],[COD_LOJA]]),2) = "$Y","BRUNO","")</f>
        <v>#NAME?</v>
      </c>
    </row>
    <row r="192" spans="1:6" ht="13">
      <c r="A192" s="35">
        <v>193</v>
      </c>
      <c r="B192" s="18" t="s">
        <v>452</v>
      </c>
      <c r="C192" s="19">
        <v>41821</v>
      </c>
      <c r="D192" s="18"/>
      <c r="E192" s="18"/>
      <c r="F192" s="42" t="e">
        <f ca="1">IF(LEFT(onde_tah(Tabela6[],Tabela2[[#This Row],[COD_LOJA]]),2) = "$Y","BRUNO","")</f>
        <v>#NAME?</v>
      </c>
    </row>
    <row r="193" spans="1:6" ht="13">
      <c r="A193" s="35">
        <v>194</v>
      </c>
      <c r="B193" s="18" t="s">
        <v>453</v>
      </c>
      <c r="C193" s="19">
        <v>41852</v>
      </c>
      <c r="D193" s="18"/>
      <c r="E193" s="18"/>
      <c r="F193" s="42" t="e">
        <f ca="1">IF(LEFT(onde_tah(Tabela6[],Tabela2[[#This Row],[COD_LOJA]]),2) = "$Y","BRUNO","")</f>
        <v>#NAME?</v>
      </c>
    </row>
    <row r="194" spans="1:6" ht="13">
      <c r="A194" s="35">
        <v>195</v>
      </c>
      <c r="B194" s="18" t="s">
        <v>454</v>
      </c>
      <c r="C194" s="19">
        <v>41791</v>
      </c>
      <c r="D194" s="18"/>
      <c r="E194" s="18"/>
      <c r="F194" s="42" t="e">
        <f ca="1">IF(LEFT(onde_tah(Tabela6[],Tabela2[[#This Row],[COD_LOJA]]),2) = "$Y","BRUNO","")</f>
        <v>#NAME?</v>
      </c>
    </row>
    <row r="195" spans="1:6" ht="13">
      <c r="A195" s="35">
        <v>196</v>
      </c>
      <c r="B195" s="18" t="s">
        <v>455</v>
      </c>
      <c r="C195" s="19">
        <v>41821</v>
      </c>
      <c r="D195" s="18"/>
      <c r="E195" s="18"/>
      <c r="F195" s="42" t="e">
        <f ca="1">IF(LEFT(onde_tah(Tabela6[],Tabela2[[#This Row],[COD_LOJA]]),2) = "$Y","BRUNO","")</f>
        <v>#NAME?</v>
      </c>
    </row>
    <row r="196" spans="1:6" ht="13">
      <c r="A196" s="35">
        <v>197</v>
      </c>
      <c r="B196" s="18" t="s">
        <v>456</v>
      </c>
      <c r="C196" s="19">
        <v>41883</v>
      </c>
      <c r="D196" s="18"/>
      <c r="E196" s="18"/>
      <c r="F196" s="42" t="e">
        <f ca="1">IF(LEFT(onde_tah(Tabela6[],Tabela2[[#This Row],[COD_LOJA]]),2) = "$Y","BRUNO","")</f>
        <v>#NAME?</v>
      </c>
    </row>
  </sheetData>
  <dataConsolidate/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ESTRUT_DADOS_PADRAO</vt:lpstr>
      <vt:lpstr>Config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Graziela</dc:creator>
  <cp:lastModifiedBy>LPG</cp:lastModifiedBy>
  <cp:lastPrinted>2014-04-17T15:14:40Z</cp:lastPrinted>
  <dcterms:created xsi:type="dcterms:W3CDTF">2011-11-08T17:39:33Z</dcterms:created>
  <dcterms:modified xsi:type="dcterms:W3CDTF">2014-10-02T19:12:50Z</dcterms:modified>
</cp:coreProperties>
</file>